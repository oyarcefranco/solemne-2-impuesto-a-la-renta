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13_ncr:1_{13253DA6-7814-48E7-A073-2BF174E44B5D}" xr6:coauthVersionLast="47" xr6:coauthVersionMax="47" xr10:uidLastSave="{00000000-0000-0000-0000-000000000000}"/>
  <bookViews>
    <workbookView xWindow="-110" yWindow="-110" windowWidth="19420" windowHeight="10300" xr2:uid="{BEE2F2B1-765E-4552-B310-E3B13D9A32CE}"/>
  </bookViews>
  <sheets>
    <sheet name="Ejercicio 1" sheetId="1" r:id="rId1"/>
    <sheet name="Ejercicio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K12" i="1"/>
  <c r="L12" i="1" s="1"/>
  <c r="L16" i="1" s="1"/>
  <c r="N17" i="3"/>
  <c r="K3" i="1"/>
  <c r="N15" i="3"/>
  <c r="N14" i="3"/>
  <c r="K13" i="1"/>
  <c r="M12" i="3"/>
  <c r="M3" i="3"/>
  <c r="C3" i="3"/>
  <c r="M9" i="3"/>
  <c r="M8" i="3"/>
  <c r="M7" i="3"/>
  <c r="L13" i="1"/>
</calcChain>
</file>

<file path=xl/sharedStrings.xml><?xml version="1.0" encoding="utf-8"?>
<sst xmlns="http://schemas.openxmlformats.org/spreadsheetml/2006/main" count="58" uniqueCount="49">
  <si>
    <t>Utilidad</t>
  </si>
  <si>
    <t>Agregados</t>
  </si>
  <si>
    <t>Depreciación Camioneta Financiera</t>
  </si>
  <si>
    <t>Art.31 N°5 Y 5 BIS</t>
  </si>
  <si>
    <t>Gastos Generales</t>
  </si>
  <si>
    <t>Arriendo Automovil</t>
  </si>
  <si>
    <t>Arriendo de Casa</t>
  </si>
  <si>
    <t>Multa Por no Pago Pat.</t>
  </si>
  <si>
    <t>Art 21 Inc 2 -&gt; NO PAGA IMPUESTOS</t>
  </si>
  <si>
    <t>Gratificación Socio</t>
  </si>
  <si>
    <t xml:space="preserve">Art 21 Inc 3. </t>
  </si>
  <si>
    <t>Deducciones</t>
  </si>
  <si>
    <t>Gastos Financieros</t>
  </si>
  <si>
    <t>Art. 21 Inc 1 -&gt; 40% I.V.G.R</t>
  </si>
  <si>
    <t xml:space="preserve">Art. 21 Inc 1 -&gt; 40% I.V.G.R </t>
  </si>
  <si>
    <t>Art 21. Inc 1 -&gt; 40% I.V.G.R</t>
  </si>
  <si>
    <t>Arriendo Casa</t>
  </si>
  <si>
    <t>RLI. Determinada</t>
  </si>
  <si>
    <t>40% IVGC. 32</t>
  </si>
  <si>
    <t>Menos PPM</t>
  </si>
  <si>
    <t>Impuesto Operativo</t>
  </si>
  <si>
    <t>Pérdida</t>
  </si>
  <si>
    <t>Compra Automovil</t>
  </si>
  <si>
    <t xml:space="preserve"> Art.21 Inc 3</t>
  </si>
  <si>
    <t>Impuesto de Primera Cat.</t>
  </si>
  <si>
    <t>Art 31 Inc. 3 (Art 21 Inc 2)</t>
  </si>
  <si>
    <t>Compra de Maquinaria</t>
  </si>
  <si>
    <t>Art 31 -&gt; Activo No Corriente. Reclasificación</t>
  </si>
  <si>
    <t>Depreciación Financiera</t>
  </si>
  <si>
    <t>Art 31 N°5 y 5 BIS</t>
  </si>
  <si>
    <t>Respuesto Automovil</t>
  </si>
  <si>
    <t>Art 21. Inc 3</t>
  </si>
  <si>
    <t>Nota: Inc = Inciso</t>
  </si>
  <si>
    <t>Indemnización Daño Moral</t>
  </si>
  <si>
    <t>Art 17. N°1</t>
  </si>
  <si>
    <t>I.N.R</t>
  </si>
  <si>
    <t>Dividendos de la Polar</t>
  </si>
  <si>
    <t>Art 33 N°2</t>
  </si>
  <si>
    <t>Repuesto Automovil</t>
  </si>
  <si>
    <t>Corrección Monetaria. Saldo Acreedor</t>
  </si>
  <si>
    <t>Art 41 (Art 32)</t>
  </si>
  <si>
    <t>Depreciación Tributaria</t>
  </si>
  <si>
    <t>R.L.I Determinada</t>
  </si>
  <si>
    <t>Depreciación Tributaria Camioneta</t>
  </si>
  <si>
    <t>Ahorro (14E) 50%</t>
  </si>
  <si>
    <t>40% IVG</t>
  </si>
  <si>
    <t>RLI</t>
  </si>
  <si>
    <t>I.F Corporativo</t>
  </si>
  <si>
    <t>Corrección Tributaria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</si>
</sst>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2" fontId="0" fillId="0" borderId="0" xfId="1" applyFont="1"/>
    <xf numFmtId="0" fontId="0" fillId="0" borderId="0" xfId="0" applyAlignment="1">
      <alignment horizontal="center"/>
    </xf>
    <xf numFmtId="42" fontId="0" fillId="0" borderId="0" xfId="0" applyNumberFormat="1"/>
    <xf numFmtId="0" fontId="0" fillId="0" borderId="0" xfId="0" applyAlignment="1">
      <alignment horizontal="center" wrapText="1"/>
    </xf>
    <xf numFmtId="42" fontId="0" fillId="0" borderId="0" xfId="1" applyFont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EDB0-1CC0-48D9-A112-4E4BAF7D36D9}">
  <dimension ref="B2:L16"/>
  <sheetViews>
    <sheetView tabSelected="1" topLeftCell="B1" zoomScale="110" zoomScaleNormal="110" workbookViewId="0">
      <selection activeCell="C4" sqref="C4"/>
    </sheetView>
  </sheetViews>
  <sheetFormatPr baseColWidth="10" defaultRowHeight="14.5" x14ac:dyDescent="0.35"/>
  <cols>
    <col min="2" max="2" width="18.90625" bestFit="1" customWidth="1"/>
    <col min="3" max="3" width="18.26953125" bestFit="1" customWidth="1"/>
    <col min="10" max="10" width="16.08984375" bestFit="1" customWidth="1"/>
    <col min="11" max="11" width="11.6328125" bestFit="1" customWidth="1"/>
  </cols>
  <sheetData>
    <row r="2" spans="2:12" x14ac:dyDescent="0.35">
      <c r="B2" t="s">
        <v>0</v>
      </c>
      <c r="C2" s="2">
        <v>24714210</v>
      </c>
    </row>
    <row r="3" spans="2:12" x14ac:dyDescent="0.35">
      <c r="B3" t="s">
        <v>1</v>
      </c>
      <c r="C3" s="4">
        <f>+SUM(C5:C11)</f>
        <v>11035950</v>
      </c>
      <c r="J3" t="s">
        <v>11</v>
      </c>
      <c r="K3" s="4">
        <f>+SUM(K5:K9)</f>
        <v>8641650</v>
      </c>
    </row>
    <row r="5" spans="2:12" ht="29" x14ac:dyDescent="0.35">
      <c r="B5" s="1" t="s">
        <v>2</v>
      </c>
      <c r="C5" s="2">
        <v>1500000</v>
      </c>
      <c r="D5" s="7" t="s">
        <v>3</v>
      </c>
      <c r="E5" s="7"/>
      <c r="J5" s="1" t="s">
        <v>12</v>
      </c>
      <c r="K5" s="2">
        <v>1841650</v>
      </c>
    </row>
    <row r="6" spans="2:12" x14ac:dyDescent="0.35">
      <c r="B6" t="s">
        <v>4</v>
      </c>
      <c r="C6" s="2">
        <v>1841650</v>
      </c>
      <c r="D6" s="7" t="s">
        <v>13</v>
      </c>
      <c r="E6" s="7"/>
      <c r="J6" t="s">
        <v>5</v>
      </c>
      <c r="K6" s="2">
        <v>2500000</v>
      </c>
    </row>
    <row r="7" spans="2:12" x14ac:dyDescent="0.35">
      <c r="B7" t="s">
        <v>5</v>
      </c>
      <c r="C7" s="2">
        <v>2500000</v>
      </c>
      <c r="D7" s="7" t="s">
        <v>14</v>
      </c>
      <c r="E7" s="7"/>
      <c r="J7" t="s">
        <v>16</v>
      </c>
      <c r="K7" s="2">
        <v>1800000</v>
      </c>
    </row>
    <row r="8" spans="2:12" x14ac:dyDescent="0.35">
      <c r="B8" t="s">
        <v>6</v>
      </c>
      <c r="C8" s="2">
        <v>1800000</v>
      </c>
      <c r="D8" s="7" t="s">
        <v>15</v>
      </c>
      <c r="E8" s="7"/>
      <c r="J8" t="s">
        <v>9</v>
      </c>
      <c r="K8" s="2">
        <v>1200000</v>
      </c>
    </row>
    <row r="9" spans="2:12" ht="43.5" x14ac:dyDescent="0.35">
      <c r="B9" t="s">
        <v>7</v>
      </c>
      <c r="C9" s="2">
        <v>750000</v>
      </c>
      <c r="D9" s="7" t="s">
        <v>8</v>
      </c>
      <c r="E9" s="7"/>
      <c r="F9" s="7"/>
      <c r="J9" s="1" t="s">
        <v>43</v>
      </c>
      <c r="K9" s="2">
        <v>1300000</v>
      </c>
    </row>
    <row r="10" spans="2:12" x14ac:dyDescent="0.35">
      <c r="B10" s="3" t="s">
        <v>9</v>
      </c>
      <c r="C10" s="2">
        <v>1200000</v>
      </c>
      <c r="D10" t="s">
        <v>10</v>
      </c>
    </row>
    <row r="11" spans="2:12" x14ac:dyDescent="0.35">
      <c r="B11" t="s">
        <v>48</v>
      </c>
      <c r="C11" s="2">
        <v>1444300</v>
      </c>
    </row>
    <row r="12" spans="2:12" x14ac:dyDescent="0.35">
      <c r="C12" s="4"/>
      <c r="J12" t="s">
        <v>17</v>
      </c>
      <c r="K12" s="4">
        <f>+C2+C3-K3</f>
        <v>27108510</v>
      </c>
      <c r="L12" s="2">
        <f>+K12*27%</f>
        <v>7319297.7000000002</v>
      </c>
    </row>
    <row r="13" spans="2:12" x14ac:dyDescent="0.35">
      <c r="J13" t="s">
        <v>18</v>
      </c>
      <c r="K13" s="4">
        <f>+C6+C7+C8</f>
        <v>6141650</v>
      </c>
      <c r="L13" s="2">
        <f>+K13*40%</f>
        <v>2456660</v>
      </c>
    </row>
    <row r="14" spans="2:12" x14ac:dyDescent="0.35">
      <c r="J14" t="s">
        <v>19</v>
      </c>
      <c r="K14" s="4"/>
      <c r="L14" s="2">
        <v>1200000</v>
      </c>
    </row>
    <row r="16" spans="2:12" x14ac:dyDescent="0.35">
      <c r="J16" t="s">
        <v>20</v>
      </c>
      <c r="L16" s="4">
        <f>+L12+L13-L14</f>
        <v>8575957.6999999993</v>
      </c>
    </row>
  </sheetData>
  <mergeCells count="5">
    <mergeCell ref="D5:E5"/>
    <mergeCell ref="D6:E6"/>
    <mergeCell ref="D7:E7"/>
    <mergeCell ref="D8:E8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F0C-DEF5-458A-B052-76704B91F83E}">
  <dimension ref="B1:O17"/>
  <sheetViews>
    <sheetView topLeftCell="C2" workbookViewId="0">
      <selection activeCell="J18" sqref="J18"/>
    </sheetView>
  </sheetViews>
  <sheetFormatPr baseColWidth="10" defaultRowHeight="14.5" x14ac:dyDescent="0.35"/>
  <cols>
    <col min="2" max="2" width="20.6328125" bestFit="1" customWidth="1"/>
    <col min="3" max="3" width="12.6328125" bestFit="1" customWidth="1"/>
    <col min="12" max="12" width="22.26953125" bestFit="1" customWidth="1"/>
    <col min="13" max="13" width="12.6328125" bestFit="1" customWidth="1"/>
    <col min="14" max="14" width="11.6328125" bestFit="1" customWidth="1"/>
  </cols>
  <sheetData>
    <row r="1" spans="2:15" x14ac:dyDescent="0.35">
      <c r="L1" s="7" t="s">
        <v>32</v>
      </c>
      <c r="M1" s="7"/>
    </row>
    <row r="2" spans="2:15" x14ac:dyDescent="0.35">
      <c r="B2" t="s">
        <v>21</v>
      </c>
      <c r="C2" s="2">
        <v>-39485541</v>
      </c>
    </row>
    <row r="3" spans="2:15" x14ac:dyDescent="0.35">
      <c r="B3" t="s">
        <v>1</v>
      </c>
      <c r="C3" s="4">
        <f>+SUM(C5:C11)</f>
        <v>214400000</v>
      </c>
      <c r="L3" t="s">
        <v>11</v>
      </c>
      <c r="M3" s="4">
        <f>+SUM(M5:M10)</f>
        <v>153050000</v>
      </c>
    </row>
    <row r="5" spans="2:15" x14ac:dyDescent="0.35">
      <c r="B5" t="s">
        <v>22</v>
      </c>
      <c r="C5" s="2">
        <v>32000000</v>
      </c>
      <c r="D5" t="s">
        <v>23</v>
      </c>
      <c r="L5" s="5" t="s">
        <v>33</v>
      </c>
      <c r="M5" s="2">
        <v>28000000</v>
      </c>
      <c r="N5" t="s">
        <v>34</v>
      </c>
      <c r="O5" t="s">
        <v>35</v>
      </c>
    </row>
    <row r="6" spans="2:15" ht="29" x14ac:dyDescent="0.35">
      <c r="B6" s="1" t="s">
        <v>24</v>
      </c>
      <c r="C6" s="2">
        <v>32500000</v>
      </c>
      <c r="D6" s="7" t="s">
        <v>25</v>
      </c>
      <c r="E6" s="7"/>
      <c r="L6" t="s">
        <v>36</v>
      </c>
      <c r="M6" s="6">
        <v>52000000</v>
      </c>
      <c r="N6" t="s">
        <v>37</v>
      </c>
    </row>
    <row r="7" spans="2:15" x14ac:dyDescent="0.35">
      <c r="B7" t="s">
        <v>26</v>
      </c>
      <c r="C7" s="2">
        <v>105000000</v>
      </c>
      <c r="D7" s="7" t="s">
        <v>27</v>
      </c>
      <c r="E7" s="7"/>
      <c r="F7" s="7"/>
      <c r="G7" s="7"/>
      <c r="L7" t="s">
        <v>22</v>
      </c>
      <c r="M7" s="4">
        <f>+C5</f>
        <v>32000000</v>
      </c>
    </row>
    <row r="8" spans="2:15" x14ac:dyDescent="0.35">
      <c r="B8" t="s">
        <v>28</v>
      </c>
      <c r="C8" s="2">
        <v>5200000</v>
      </c>
      <c r="D8" s="7" t="s">
        <v>29</v>
      </c>
      <c r="E8" s="7"/>
      <c r="L8" t="s">
        <v>38</v>
      </c>
      <c r="M8" s="4">
        <f>+C9</f>
        <v>1200000</v>
      </c>
    </row>
    <row r="9" spans="2:15" x14ac:dyDescent="0.35">
      <c r="B9" t="s">
        <v>30</v>
      </c>
      <c r="C9" s="2">
        <v>1200000</v>
      </c>
      <c r="D9" t="s">
        <v>31</v>
      </c>
      <c r="L9" t="s">
        <v>16</v>
      </c>
      <c r="M9" s="4">
        <f>+C10</f>
        <v>36000000</v>
      </c>
    </row>
    <row r="10" spans="2:15" x14ac:dyDescent="0.35">
      <c r="B10" t="s">
        <v>6</v>
      </c>
      <c r="C10" s="2">
        <v>36000000</v>
      </c>
      <c r="D10" t="s">
        <v>31</v>
      </c>
      <c r="L10" t="s">
        <v>41</v>
      </c>
      <c r="M10" s="2">
        <v>3850000</v>
      </c>
      <c r="N10" s="7" t="s">
        <v>29</v>
      </c>
      <c r="O10" s="7"/>
    </row>
    <row r="11" spans="2:15" ht="29" x14ac:dyDescent="0.35">
      <c r="B11" s="1" t="s">
        <v>39</v>
      </c>
      <c r="C11" s="2">
        <v>2500000</v>
      </c>
      <c r="D11" t="s">
        <v>40</v>
      </c>
    </row>
    <row r="12" spans="2:15" x14ac:dyDescent="0.35">
      <c r="L12" t="s">
        <v>42</v>
      </c>
      <c r="M12" s="4">
        <f>+C3+C2-M3</f>
        <v>21864459</v>
      </c>
    </row>
    <row r="13" spans="2:15" x14ac:dyDescent="0.35">
      <c r="L13" t="s">
        <v>44</v>
      </c>
      <c r="M13" s="2">
        <v>10932229</v>
      </c>
    </row>
    <row r="14" spans="2:15" x14ac:dyDescent="0.35">
      <c r="L14" t="s">
        <v>46</v>
      </c>
      <c r="M14" s="2">
        <v>10932230</v>
      </c>
      <c r="N14" s="2">
        <f>+M14*27%</f>
        <v>2951702.1</v>
      </c>
    </row>
    <row r="15" spans="2:15" x14ac:dyDescent="0.35">
      <c r="L15" t="s">
        <v>45</v>
      </c>
      <c r="M15" s="2">
        <v>32000000</v>
      </c>
      <c r="N15" s="2">
        <f>+M15*40%</f>
        <v>12800000</v>
      </c>
    </row>
    <row r="17" spans="12:14" x14ac:dyDescent="0.35">
      <c r="L17" t="s">
        <v>47</v>
      </c>
      <c r="N17" s="4">
        <f>+SUM(N14:N15)</f>
        <v>15751702.1</v>
      </c>
    </row>
  </sheetData>
  <mergeCells count="5">
    <mergeCell ref="D6:E6"/>
    <mergeCell ref="D7:G7"/>
    <mergeCell ref="L1:M1"/>
    <mergeCell ref="D8:E8"/>
    <mergeCell ref="N10:O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610491-0741-4092-a666-866b6a50d5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3E356AECEB734C981CC90771C252D4" ma:contentTypeVersion="16" ma:contentTypeDescription="Create a new document." ma:contentTypeScope="" ma:versionID="639638019cc8af20e0df39b89fb239c8">
  <xsd:schema xmlns:xsd="http://www.w3.org/2001/XMLSchema" xmlns:xs="http://www.w3.org/2001/XMLSchema" xmlns:p="http://schemas.microsoft.com/office/2006/metadata/properties" xmlns:ns3="08610491-0741-4092-a666-866b6a50d565" xmlns:ns4="ad4edf41-2efb-4fe1-927c-c344ba038294" targetNamespace="http://schemas.microsoft.com/office/2006/metadata/properties" ma:root="true" ma:fieldsID="5c315b6f5de9de9f7bec0e13116900fd" ns3:_="" ns4:_="">
    <xsd:import namespace="08610491-0741-4092-a666-866b6a50d565"/>
    <xsd:import namespace="ad4edf41-2efb-4fe1-927c-c344ba0382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10491-0741-4092-a666-866b6a50d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edf41-2efb-4fe1-927c-c344ba0382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CD130C-DE2F-4E60-B147-F5DFCD71E37C}">
  <ds:schemaRefs>
    <ds:schemaRef ds:uri="http://purl.org/dc/elements/1.1/"/>
    <ds:schemaRef ds:uri="http://schemas.microsoft.com/office/2006/metadata/properties"/>
    <ds:schemaRef ds:uri="http://purl.org/dc/terms/"/>
    <ds:schemaRef ds:uri="ad4edf41-2efb-4fe1-927c-c344ba038294"/>
    <ds:schemaRef ds:uri="http://schemas.microsoft.com/office/2006/documentManagement/types"/>
    <ds:schemaRef ds:uri="http://www.w3.org/XML/1998/namespace"/>
    <ds:schemaRef ds:uri="08610491-0741-4092-a666-866b6a50d565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40F59F-E05B-48A7-B984-C6CCC1F9A1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27C097-4059-4B6F-8027-5885C3A86E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10491-0741-4092-a666-866b6a50d565"/>
    <ds:schemaRef ds:uri="ad4edf41-2efb-4fe1-927c-c344ba038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ECHEVERRÍA VÁSQUEZ</dc:creator>
  <cp:lastModifiedBy>JUAN ECHEVERRÍA VÁSQUEZ</cp:lastModifiedBy>
  <dcterms:created xsi:type="dcterms:W3CDTF">2026-04-27T18:33:25Z</dcterms:created>
  <dcterms:modified xsi:type="dcterms:W3CDTF">2026-04-27T20:25:13Z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2026-04-27T19:16:04Z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57767308-ca36-4f26-a4a3-ff1fd49e77d9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  <property fmtid="{D5CDD505-2E9C-101B-9397-08002B2CF9AE}" pid="10" name="ContentTypeId">
    <vt:lpwstr>0x010100013E356AECEB734C981CC90771C252D4</vt:lpwstr>
  </property>
</Properties>
</file>