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S\Desktop\"/>
    </mc:Choice>
  </mc:AlternateContent>
  <xr:revisionPtr revIDLastSave="0" documentId="8_{C257F950-3AA1-46DF-873F-6C2D8C044B78}" xr6:coauthVersionLast="47" xr6:coauthVersionMax="47" xr10:uidLastSave="{00000000-0000-0000-0000-000000000000}"/>
  <bookViews>
    <workbookView xWindow="-120" yWindow="-120" windowWidth="29040" windowHeight="15720" xr2:uid="{97F9B9FC-B132-4C1A-9350-529B93609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1" l="1"/>
  <c r="E24" i="1"/>
  <c r="E28" i="1"/>
  <c r="N24" i="1"/>
  <c r="M24" i="1"/>
  <c r="N17" i="1"/>
  <c r="M17" i="1"/>
  <c r="E16" i="1"/>
  <c r="E14" i="1"/>
  <c r="E10" i="1"/>
  <c r="Q17" i="1"/>
  <c r="M13" i="1"/>
  <c r="N13" i="1"/>
  <c r="M10" i="1"/>
  <c r="M9" i="1"/>
  <c r="N11" i="1"/>
  <c r="E32" i="1" l="1"/>
  <c r="E34" i="1" s="1"/>
</calcChain>
</file>

<file path=xl/sharedStrings.xml><?xml version="1.0" encoding="utf-8"?>
<sst xmlns="http://schemas.openxmlformats.org/spreadsheetml/2006/main" count="48" uniqueCount="25">
  <si>
    <t>ARTICULO 14 LETRA A)</t>
  </si>
  <si>
    <t>ARTICULO 14 D)3</t>
  </si>
  <si>
    <t>INGRESOS POR VENTA</t>
  </si>
  <si>
    <t>50% PAGADO Y 50% CUENTAS POR COBRAR</t>
  </si>
  <si>
    <t>ASIENTO</t>
  </si>
  <si>
    <t>CAJA</t>
  </si>
  <si>
    <t>CUENTAS POR COBRAR</t>
  </si>
  <si>
    <t>INGRESOS</t>
  </si>
  <si>
    <t>IVA D.F.</t>
  </si>
  <si>
    <t>COSTO VENTA</t>
  </si>
  <si>
    <t>(1)</t>
  </si>
  <si>
    <t>(2)</t>
  </si>
  <si>
    <t>COSTO DE VENTA</t>
  </si>
  <si>
    <t>MERCADERIAS</t>
  </si>
  <si>
    <t>MERCADERIA PAGADA</t>
  </si>
  <si>
    <t>MARGEN</t>
  </si>
  <si>
    <t>GASTOS DE A. Y V.</t>
  </si>
  <si>
    <t>UTILIDAD</t>
  </si>
  <si>
    <t>TASA IDPC</t>
  </si>
  <si>
    <t>(3)</t>
  </si>
  <si>
    <t>GASTOS</t>
  </si>
  <si>
    <t>50% PAGADO</t>
  </si>
  <si>
    <t>50% CRÉDITO</t>
  </si>
  <si>
    <t>PROVEEDORES</t>
  </si>
  <si>
    <t>14 D)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</si>
</sst>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7">
    <xf numFmtId="0" fontId="0" fillId="0" borderId="0" xfId="0"/>
    <xf numFmtId="42" fontId="0" fillId="0" borderId="0" xfId="2" applyFont="1"/>
    <xf numFmtId="0" fontId="0" fillId="0" borderId="1" xfId="0" applyBorder="1"/>
    <xf numFmtId="41" fontId="0" fillId="0" borderId="0" xfId="1" applyFont="1"/>
    <xf numFmtId="41" fontId="0" fillId="0" borderId="1" xfId="1" applyFont="1" applyBorder="1"/>
    <xf numFmtId="41" fontId="0" fillId="0" borderId="0" xfId="0" applyNumberFormat="1"/>
    <xf numFmtId="49" fontId="0" fillId="0" borderId="0" xfId="0" applyNumberFormat="1"/>
    <xf numFmtId="9" fontId="0" fillId="0" borderId="0" xfId="2" applyNumberFormat="1" applyFont="1"/>
    <xf numFmtId="42" fontId="0" fillId="0" borderId="1" xfId="2" applyFont="1" applyBorder="1"/>
    <xf numFmtId="4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42" fontId="0" fillId="0" borderId="0" xfId="2" applyFont="1" applyBorder="1"/>
    <xf numFmtId="49" fontId="0" fillId="0" borderId="6" xfId="0" applyNumberFormat="1" applyBorder="1"/>
    <xf numFmtId="9" fontId="0" fillId="0" borderId="6" xfId="0" applyNumberFormat="1" applyBorder="1"/>
    <xf numFmtId="9" fontId="0" fillId="0" borderId="0" xfId="0" applyNumberFormat="1" applyBorder="1"/>
    <xf numFmtId="0" fontId="0" fillId="0" borderId="7" xfId="0" applyBorder="1"/>
    <xf numFmtId="0" fontId="0" fillId="0" borderId="8" xfId="0" applyBorder="1"/>
    <xf numFmtId="42" fontId="0" fillId="0" borderId="8" xfId="2" applyFont="1" applyBorder="1"/>
    <xf numFmtId="0" fontId="0" fillId="0" borderId="9" xfId="0" applyBorder="1"/>
    <xf numFmtId="42" fontId="0" fillId="0" borderId="3" xfId="2" applyFont="1" applyBorder="1"/>
    <xf numFmtId="9" fontId="0" fillId="0" borderId="8" xfId="0" applyNumberFormat="1" applyBorder="1"/>
    <xf numFmtId="164" fontId="0" fillId="0" borderId="8" xfId="0" applyNumberFormat="1" applyBorder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F568-E029-491D-BD1F-82492E6C5FF3}">
  <dimension ref="B3:Q49"/>
  <sheetViews>
    <sheetView tabSelected="1" workbookViewId="0">
      <selection activeCell="M42" sqref="M42"/>
    </sheetView>
  </sheetViews>
  <sheetFormatPr baseColWidth="10" defaultRowHeight="15" x14ac:dyDescent="0.25"/>
  <cols>
    <col min="5" max="5" width="13" bestFit="1" customWidth="1"/>
    <col min="6" max="6" width="13.7109375" customWidth="1"/>
    <col min="13" max="14" width="12" bestFit="1" customWidth="1"/>
    <col min="17" max="17" width="13" customWidth="1"/>
  </cols>
  <sheetData>
    <row r="3" spans="2:17" ht="15.75" thickBot="1" x14ac:dyDescent="0.3"/>
    <row r="4" spans="2:17" x14ac:dyDescent="0.25">
      <c r="B4" s="10" t="s">
        <v>0</v>
      </c>
      <c r="C4" s="11"/>
      <c r="D4" s="11"/>
      <c r="E4" s="11"/>
      <c r="F4" s="12"/>
    </row>
    <row r="5" spans="2:17" x14ac:dyDescent="0.25">
      <c r="B5" s="13"/>
      <c r="C5" s="14"/>
      <c r="D5" s="14"/>
      <c r="E5" s="14"/>
      <c r="F5" s="15"/>
    </row>
    <row r="6" spans="2:17" x14ac:dyDescent="0.25">
      <c r="B6" s="13"/>
      <c r="C6" s="14" t="s">
        <v>2</v>
      </c>
      <c r="D6" s="14"/>
      <c r="E6" s="16">
        <v>100000000</v>
      </c>
      <c r="F6" s="17" t="s">
        <v>10</v>
      </c>
      <c r="J6" s="6" t="s">
        <v>10</v>
      </c>
      <c r="K6" t="s">
        <v>3</v>
      </c>
    </row>
    <row r="7" spans="2:17" x14ac:dyDescent="0.25">
      <c r="B7" s="13"/>
      <c r="C7" s="14"/>
      <c r="D7" s="14"/>
      <c r="E7" s="16"/>
      <c r="F7" s="15"/>
      <c r="K7" t="s">
        <v>4</v>
      </c>
    </row>
    <row r="8" spans="2:17" x14ac:dyDescent="0.25">
      <c r="B8" s="13"/>
      <c r="C8" s="14" t="s">
        <v>9</v>
      </c>
      <c r="D8" s="14"/>
      <c r="E8" s="16">
        <v>-50000000</v>
      </c>
      <c r="F8" s="17" t="s">
        <v>11</v>
      </c>
      <c r="K8" s="2"/>
      <c r="L8" s="2"/>
      <c r="M8" s="2"/>
      <c r="N8" s="2"/>
    </row>
    <row r="9" spans="2:17" x14ac:dyDescent="0.25">
      <c r="B9" s="13"/>
      <c r="C9" s="14"/>
      <c r="D9" s="14"/>
      <c r="E9" s="8"/>
      <c r="F9" s="15"/>
      <c r="K9" t="s">
        <v>5</v>
      </c>
      <c r="M9" s="3">
        <f>+E6*1.19/2</f>
        <v>59500000</v>
      </c>
      <c r="N9" s="3"/>
    </row>
    <row r="10" spans="2:17" x14ac:dyDescent="0.25">
      <c r="B10" s="13"/>
      <c r="C10" s="14" t="s">
        <v>15</v>
      </c>
      <c r="D10" s="14"/>
      <c r="E10" s="16">
        <f>+E6+E8</f>
        <v>50000000</v>
      </c>
      <c r="F10" s="15"/>
      <c r="K10" t="s">
        <v>6</v>
      </c>
      <c r="M10" s="3">
        <f>+E6*1.19/2</f>
        <v>59500000</v>
      </c>
      <c r="N10" s="3"/>
    </row>
    <row r="11" spans="2:17" x14ac:dyDescent="0.25">
      <c r="B11" s="13"/>
      <c r="C11" s="14"/>
      <c r="D11" s="14"/>
      <c r="E11" s="16"/>
      <c r="F11" s="15"/>
      <c r="K11" t="s">
        <v>7</v>
      </c>
      <c r="M11" s="3"/>
      <c r="N11" s="3">
        <f>+E6</f>
        <v>100000000</v>
      </c>
    </row>
    <row r="12" spans="2:17" x14ac:dyDescent="0.25">
      <c r="B12" s="13"/>
      <c r="C12" s="14" t="s">
        <v>16</v>
      </c>
      <c r="D12" s="14"/>
      <c r="E12" s="16">
        <v>-10000000</v>
      </c>
      <c r="F12" s="17" t="s">
        <v>19</v>
      </c>
      <c r="K12" s="2" t="s">
        <v>8</v>
      </c>
      <c r="L12" s="2"/>
      <c r="M12" s="4"/>
      <c r="N12" s="4">
        <v>19000000</v>
      </c>
    </row>
    <row r="13" spans="2:17" x14ac:dyDescent="0.25">
      <c r="B13" s="13"/>
      <c r="C13" s="14"/>
      <c r="D13" s="14"/>
      <c r="E13" s="16"/>
      <c r="F13" s="15"/>
      <c r="M13" s="5">
        <f>SUM(M9:M12)</f>
        <v>119000000</v>
      </c>
      <c r="N13" s="5">
        <f>SUM(N11:N12)</f>
        <v>119000000</v>
      </c>
    </row>
    <row r="14" spans="2:17" x14ac:dyDescent="0.25">
      <c r="B14" s="13"/>
      <c r="C14" s="14" t="s">
        <v>17</v>
      </c>
      <c r="D14" s="14"/>
      <c r="E14" s="16">
        <f>+E10+E12</f>
        <v>40000000</v>
      </c>
      <c r="F14" s="18"/>
    </row>
    <row r="15" spans="2:17" x14ac:dyDescent="0.25">
      <c r="B15" s="13"/>
      <c r="C15" s="14"/>
      <c r="D15" s="14"/>
      <c r="E15" s="16"/>
      <c r="F15" s="15"/>
      <c r="J15" s="6" t="s">
        <v>11</v>
      </c>
      <c r="K15" t="s">
        <v>12</v>
      </c>
      <c r="M15" s="1">
        <v>50000000</v>
      </c>
      <c r="N15" s="1"/>
      <c r="O15" s="1"/>
      <c r="P15" s="1"/>
      <c r="Q15" s="1"/>
    </row>
    <row r="16" spans="2:17" x14ac:dyDescent="0.25">
      <c r="B16" s="13"/>
      <c r="C16" s="14" t="s">
        <v>18</v>
      </c>
      <c r="D16" s="19">
        <v>0.27</v>
      </c>
      <c r="E16" s="16">
        <f>+E14*D16</f>
        <v>10800000</v>
      </c>
      <c r="F16" s="15"/>
      <c r="K16" s="2" t="s">
        <v>13</v>
      </c>
      <c r="L16" s="2"/>
      <c r="M16" s="8"/>
      <c r="N16" s="8">
        <v>50000000</v>
      </c>
      <c r="O16" s="1"/>
      <c r="P16" s="1" t="s">
        <v>14</v>
      </c>
      <c r="Q16" s="1"/>
    </row>
    <row r="17" spans="2:17" x14ac:dyDescent="0.25">
      <c r="B17" s="13"/>
      <c r="C17" s="14"/>
      <c r="D17" s="14"/>
      <c r="E17" s="16"/>
      <c r="F17" s="15"/>
      <c r="M17" s="1">
        <f>SUM(M15:M16)</f>
        <v>50000000</v>
      </c>
      <c r="N17" s="1">
        <f>SUM(N16)</f>
        <v>50000000</v>
      </c>
      <c r="O17" s="1"/>
      <c r="P17" s="7">
        <v>0.6</v>
      </c>
      <c r="Q17" s="1">
        <f>+N16*0.6</f>
        <v>30000000</v>
      </c>
    </row>
    <row r="18" spans="2:17" ht="15.75" thickBot="1" x14ac:dyDescent="0.3">
      <c r="B18" s="20"/>
      <c r="C18" s="21"/>
      <c r="D18" s="21"/>
      <c r="E18" s="22"/>
      <c r="F18" s="23"/>
      <c r="M18" s="1"/>
      <c r="N18" s="1"/>
      <c r="O18" s="1"/>
      <c r="P18" s="1"/>
      <c r="Q18" s="1"/>
    </row>
    <row r="19" spans="2:17" x14ac:dyDescent="0.25">
      <c r="E19" s="1"/>
    </row>
    <row r="20" spans="2:17" x14ac:dyDescent="0.25">
      <c r="E20" s="1"/>
    </row>
    <row r="21" spans="2:17" x14ac:dyDescent="0.25">
      <c r="E21" s="1"/>
      <c r="J21" s="6" t="s">
        <v>19</v>
      </c>
      <c r="K21" t="s">
        <v>20</v>
      </c>
      <c r="M21" s="1">
        <v>10000000</v>
      </c>
      <c r="N21" s="1"/>
    </row>
    <row r="22" spans="2:17" ht="15.75" thickBot="1" x14ac:dyDescent="0.3">
      <c r="E22" s="1"/>
      <c r="K22" t="s">
        <v>5</v>
      </c>
      <c r="M22" s="1"/>
      <c r="N22" s="1">
        <v>5000000</v>
      </c>
      <c r="O22" t="s">
        <v>21</v>
      </c>
    </row>
    <row r="23" spans="2:17" x14ac:dyDescent="0.25">
      <c r="B23" s="10" t="s">
        <v>1</v>
      </c>
      <c r="C23" s="11"/>
      <c r="D23" s="11"/>
      <c r="E23" s="24"/>
      <c r="F23" s="12"/>
      <c r="K23" s="2" t="s">
        <v>23</v>
      </c>
      <c r="L23" s="2"/>
      <c r="M23" s="8"/>
      <c r="N23" s="8">
        <v>5000000</v>
      </c>
      <c r="O23" t="s">
        <v>22</v>
      </c>
    </row>
    <row r="24" spans="2:17" x14ac:dyDescent="0.25">
      <c r="B24" s="13"/>
      <c r="C24" s="14" t="s">
        <v>2</v>
      </c>
      <c r="D24" s="14"/>
      <c r="E24" s="16">
        <f>+N11/2</f>
        <v>50000000</v>
      </c>
      <c r="F24" s="17" t="s">
        <v>10</v>
      </c>
      <c r="M24" s="9">
        <f>SUM(M21:M23)</f>
        <v>10000000</v>
      </c>
      <c r="N24" s="9">
        <f>SUM(N22:N23)</f>
        <v>10000000</v>
      </c>
    </row>
    <row r="25" spans="2:17" x14ac:dyDescent="0.25">
      <c r="B25" s="13"/>
      <c r="C25" s="14"/>
      <c r="D25" s="14"/>
      <c r="E25" s="16"/>
      <c r="F25" s="15"/>
    </row>
    <row r="26" spans="2:17" x14ac:dyDescent="0.25">
      <c r="B26" s="13"/>
      <c r="C26" s="14" t="s">
        <v>9</v>
      </c>
      <c r="D26" s="14"/>
      <c r="E26" s="16">
        <v>-30000000</v>
      </c>
      <c r="F26" s="17" t="s">
        <v>11</v>
      </c>
    </row>
    <row r="27" spans="2:17" x14ac:dyDescent="0.25">
      <c r="B27" s="13"/>
      <c r="C27" s="14"/>
      <c r="D27" s="14"/>
      <c r="E27" s="8"/>
      <c r="F27" s="15"/>
    </row>
    <row r="28" spans="2:17" x14ac:dyDescent="0.25">
      <c r="B28" s="13"/>
      <c r="C28" s="14" t="s">
        <v>15</v>
      </c>
      <c r="D28" s="14"/>
      <c r="E28" s="16">
        <f>+E24+E26</f>
        <v>20000000</v>
      </c>
      <c r="F28" s="15"/>
    </row>
    <row r="29" spans="2:17" x14ac:dyDescent="0.25">
      <c r="B29" s="13"/>
      <c r="C29" s="14"/>
      <c r="D29" s="14"/>
      <c r="E29" s="16"/>
      <c r="F29" s="15"/>
    </row>
    <row r="30" spans="2:17" x14ac:dyDescent="0.25">
      <c r="B30" s="13"/>
      <c r="C30" s="14" t="s">
        <v>16</v>
      </c>
      <c r="D30" s="14"/>
      <c r="E30" s="16">
        <f>-N22</f>
        <v>-5000000</v>
      </c>
      <c r="F30" s="17" t="s">
        <v>19</v>
      </c>
    </row>
    <row r="31" spans="2:17" x14ac:dyDescent="0.25">
      <c r="B31" s="13"/>
      <c r="C31" s="14"/>
      <c r="D31" s="14"/>
      <c r="E31" s="16"/>
      <c r="F31" s="15"/>
    </row>
    <row r="32" spans="2:17" x14ac:dyDescent="0.25">
      <c r="B32" s="13"/>
      <c r="C32" s="14" t="s">
        <v>17</v>
      </c>
      <c r="D32" s="14"/>
      <c r="E32" s="16">
        <f>+E28+E30</f>
        <v>15000000</v>
      </c>
      <c r="F32" s="18"/>
    </row>
    <row r="33" spans="2:7" x14ac:dyDescent="0.25">
      <c r="B33" s="13"/>
      <c r="C33" s="14"/>
      <c r="D33" s="14"/>
      <c r="E33" s="16"/>
      <c r="F33" s="15"/>
    </row>
    <row r="34" spans="2:7" ht="15.75" thickBot="1" x14ac:dyDescent="0.3">
      <c r="B34" s="20"/>
      <c r="C34" s="21" t="s">
        <v>18</v>
      </c>
      <c r="D34" s="26">
        <v>0.125</v>
      </c>
      <c r="E34" s="22">
        <f>+E32*D34</f>
        <v>1875000</v>
      </c>
      <c r="F34" s="23"/>
    </row>
    <row r="37" spans="2:7" ht="15.75" thickBot="1" x14ac:dyDescent="0.3">
      <c r="B37" t="s">
        <v>24</v>
      </c>
    </row>
    <row r="38" spans="2:7" x14ac:dyDescent="0.25">
      <c r="C38" s="10" t="s">
        <v>1</v>
      </c>
      <c r="D38" s="11"/>
      <c r="E38" s="11"/>
      <c r="F38" s="24"/>
      <c r="G38" s="12"/>
    </row>
    <row r="39" spans="2:7" x14ac:dyDescent="0.25">
      <c r="C39" s="13"/>
      <c r="D39" s="14" t="s">
        <v>2</v>
      </c>
      <c r="E39" s="14"/>
      <c r="F39" s="16">
        <v>50000000</v>
      </c>
      <c r="G39" s="17" t="s">
        <v>10</v>
      </c>
    </row>
    <row r="40" spans="2:7" x14ac:dyDescent="0.25">
      <c r="C40" s="13"/>
      <c r="D40" s="14"/>
      <c r="E40" s="14"/>
      <c r="F40" s="16"/>
      <c r="G40" s="15"/>
    </row>
    <row r="41" spans="2:7" x14ac:dyDescent="0.25">
      <c r="C41" s="13"/>
      <c r="D41" s="14" t="s">
        <v>9</v>
      </c>
      <c r="E41" s="14"/>
      <c r="F41" s="16">
        <v>-30000000</v>
      </c>
      <c r="G41" s="17" t="s">
        <v>11</v>
      </c>
    </row>
    <row r="42" spans="2:7" x14ac:dyDescent="0.25">
      <c r="C42" s="13"/>
      <c r="D42" s="14"/>
      <c r="E42" s="14"/>
      <c r="F42" s="8"/>
      <c r="G42" s="15"/>
    </row>
    <row r="43" spans="2:7" x14ac:dyDescent="0.25">
      <c r="C43" s="13"/>
      <c r="D43" s="14" t="s">
        <v>15</v>
      </c>
      <c r="E43" s="14"/>
      <c r="F43" s="16">
        <v>20000000</v>
      </c>
      <c r="G43" s="15"/>
    </row>
    <row r="44" spans="2:7" x14ac:dyDescent="0.25">
      <c r="C44" s="13"/>
      <c r="D44" s="14"/>
      <c r="E44" s="14"/>
      <c r="F44" s="16"/>
      <c r="G44" s="15"/>
    </row>
    <row r="45" spans="2:7" x14ac:dyDescent="0.25">
      <c r="C45" s="13"/>
      <c r="D45" s="14" t="s">
        <v>16</v>
      </c>
      <c r="E45" s="14"/>
      <c r="F45" s="16">
        <v>-5000000</v>
      </c>
      <c r="G45" s="17" t="s">
        <v>19</v>
      </c>
    </row>
    <row r="46" spans="2:7" x14ac:dyDescent="0.25">
      <c r="C46" s="13"/>
      <c r="D46" s="14"/>
      <c r="E46" s="14"/>
      <c r="F46" s="16"/>
      <c r="G46" s="15"/>
    </row>
    <row r="47" spans="2:7" x14ac:dyDescent="0.25">
      <c r="C47" s="13"/>
      <c r="D47" s="14" t="s">
        <v>17</v>
      </c>
      <c r="E47" s="14"/>
      <c r="F47" s="16">
        <v>15000000</v>
      </c>
      <c r="G47" s="18"/>
    </row>
    <row r="48" spans="2:7" x14ac:dyDescent="0.25">
      <c r="C48" s="13"/>
      <c r="D48" s="14"/>
      <c r="E48" s="14"/>
      <c r="F48" s="16"/>
      <c r="G48" s="15"/>
    </row>
    <row r="49" spans="3:7" ht="15.75" thickBot="1" x14ac:dyDescent="0.3">
      <c r="C49" s="20"/>
      <c r="D49" s="21" t="s">
        <v>18</v>
      </c>
      <c r="E49" s="25">
        <v>0</v>
      </c>
      <c r="F49" s="22"/>
      <c r="G49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</dc:creator>
  <cp:lastModifiedBy>USS</cp:lastModifiedBy>
  <dcterms:created xsi:type="dcterms:W3CDTF">2026-04-13T19:56:39Z</dcterms:created>
  <dcterms:modified xsi:type="dcterms:W3CDTF">2026-04-13T20:12:54Z</dcterms:modified>
</cp:coreProperties>
</file>