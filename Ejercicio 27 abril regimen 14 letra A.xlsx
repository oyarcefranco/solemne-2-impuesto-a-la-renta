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orreouss-my.sharepoint.com/personal/foyarcer1_correo_uss_cl/Documents/Universidad año 4/Semestre 1/Impuesto a la renta e IVA/solemne 2/"/>
    </mc:Choice>
  </mc:AlternateContent>
  <xr:revisionPtr revIDLastSave="286" documentId="11_AD4D2F04E46CFB4ACB3E20160D57E17A683EDF2E" xr6:coauthVersionLast="47" xr6:coauthVersionMax="47" xr10:uidLastSave="{1296B03D-5B3C-4D46-8A93-C19BD0D9579D}"/>
  <bookViews>
    <workbookView xWindow="-108" yWindow="-108" windowWidth="23256" windowHeight="12456" activeTab="2" xr2:uid="{00000000-000D-0000-FFFF-FFFF00000000}"/>
  </bookViews>
  <sheets>
    <sheet name="Ejercicio 1" sheetId="1" r:id="rId1"/>
    <sheet name="Ejercicio 2" sheetId="2" r:id="rId2"/>
    <sheet name="Hoj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3" l="1"/>
  <c r="G8" i="3"/>
  <c r="G18" i="3" s="1"/>
  <c r="G21" i="3" s="1"/>
  <c r="F8" i="3"/>
  <c r="F18" i="3" s="1"/>
  <c r="G28" i="3"/>
  <c r="F28" i="3"/>
  <c r="G14" i="3"/>
  <c r="G20" i="3"/>
  <c r="F20" i="3"/>
  <c r="G19" i="3"/>
  <c r="F19" i="3"/>
  <c r="G17" i="3"/>
  <c r="F17" i="3"/>
  <c r="G13" i="3"/>
  <c r="F13" i="3"/>
  <c r="G12" i="3"/>
  <c r="F12" i="3"/>
  <c r="G11" i="3"/>
  <c r="F11" i="3"/>
  <c r="G10" i="3"/>
  <c r="F10" i="3"/>
  <c r="G9" i="3"/>
  <c r="F9" i="3"/>
  <c r="G7" i="3"/>
  <c r="F7" i="3"/>
  <c r="G6" i="3"/>
  <c r="F6" i="3"/>
  <c r="G3" i="3"/>
  <c r="H30" i="2"/>
  <c r="H29" i="2"/>
  <c r="H28" i="2"/>
  <c r="H27" i="2"/>
  <c r="H26" i="2"/>
  <c r="H25" i="2"/>
  <c r="H22" i="2"/>
  <c r="H12" i="2"/>
  <c r="H21" i="2"/>
  <c r="G21" i="2"/>
  <c r="H11" i="2"/>
  <c r="G11" i="2"/>
  <c r="H20" i="2"/>
  <c r="G20" i="2"/>
  <c r="H19" i="2"/>
  <c r="G19" i="2"/>
  <c r="H18" i="2"/>
  <c r="G18" i="2"/>
  <c r="H17" i="2"/>
  <c r="G17" i="2"/>
  <c r="H16" i="2"/>
  <c r="G16" i="2"/>
  <c r="H10" i="2"/>
  <c r="G10" i="2"/>
  <c r="H9" i="2"/>
  <c r="G9" i="2"/>
  <c r="H8" i="2"/>
  <c r="G8" i="2"/>
  <c r="H7" i="2"/>
  <c r="G7" i="2"/>
  <c r="H6" i="2"/>
  <c r="G6" i="2"/>
  <c r="H5" i="2"/>
  <c r="G5" i="2"/>
  <c r="H2" i="2"/>
  <c r="G24" i="3" l="1"/>
  <c r="G25" i="3" s="1"/>
  <c r="G26" i="3" s="1"/>
  <c r="G29" i="3" s="1"/>
</calcChain>
</file>

<file path=xl/sharedStrings.xml><?xml version="1.0" encoding="utf-8"?>
<sst xmlns="http://schemas.openxmlformats.org/spreadsheetml/2006/main" count="134" uniqueCount="104">
  <si>
    <t>CUENTA</t>
  </si>
  <si>
    <t>PÉRDIDAS ($)</t>
  </si>
  <si>
    <t>GANANCIAS ($)</t>
  </si>
  <si>
    <t>VENTAS</t>
  </si>
  <si>
    <t>COSTOS DE VENTA</t>
  </si>
  <si>
    <t>DEPRECIACION CAMIONETA FINANCIERA</t>
  </si>
  <si>
    <t>SUELDOS PAGADOS</t>
  </si>
  <si>
    <t>GASTOS GENERALES</t>
  </si>
  <si>
    <t>INDEMNIZACIÓN LEGAL A TRABAJADORES DESPEDIDOS AÑO 2025</t>
  </si>
  <si>
    <t>ARRIENDO DE AUTOMÓVIL PARA EL GERENTE GENERAL</t>
  </si>
  <si>
    <t>ARRIENDO CASA DE VERANO FEBRERO DE 2025</t>
  </si>
  <si>
    <t>MULTA POR NO PAGO DE PATENTE MUNICIPAL</t>
  </si>
  <si>
    <t>GRATIFICACION SOCIO</t>
  </si>
  <si>
    <t>SUMAS</t>
  </si>
  <si>
    <t>RESULTADO (UTILIDAD FINANCIERA)</t>
  </si>
  <si>
    <t>TOTALES</t>
  </si>
  <si>
    <t>NOTAS AL ESTADO DE RESULTADOS</t>
  </si>
  <si>
    <t>N°</t>
  </si>
  <si>
    <t>DESCRIPCIÓN DE LA NOTA</t>
  </si>
  <si>
    <t>MONTO INVOLUCRADO ($)</t>
  </si>
  <si>
    <t>La corrección monetaria tributaria de las existencias es saldo acreedor.</t>
  </si>
  <si>
    <t>El pago de los PPM actualizados año 2025 es de:</t>
  </si>
  <si>
    <t>El arriendo de casa de verano, fue en beneficio del contador externo de la empresa.</t>
  </si>
  <si>
    <t>La depreciación tributaria de la camioneta es:</t>
  </si>
  <si>
    <t>En la cuenta sueldos pagados se adeudados al 31-12-2025:</t>
  </si>
  <si>
    <t>En la cuenta Gastos Generales existen gastos sin documentación de sustento por:</t>
  </si>
  <si>
    <t>Ninguno de los socios trabaja en la empresa (Afecta análisis de Gratificación Socio).</t>
  </si>
  <si>
    <t>VENTAS DEL GIRO</t>
  </si>
  <si>
    <t>INDEMNIZACIÓN DAÑO MORAL</t>
  </si>
  <si>
    <t>DIVIDENDOS PERCIBIDOS DESDE LA POLAR S.A.</t>
  </si>
  <si>
    <t>SUELDOS</t>
  </si>
  <si>
    <t>IMPUESTO DE PRIMERA CATEGORÍA</t>
  </si>
  <si>
    <t>IMPUESTO DE TIMBRES Y ESTAMPILLAS PAGARE DEL GIRO</t>
  </si>
  <si>
    <t>COMPRA DE MAQUINARIA</t>
  </si>
  <si>
    <t>DEPRECIACIÓN FINANCIERA</t>
  </si>
  <si>
    <t>INTERESES POR PRESTAMO BANCARIO DEL GIRO</t>
  </si>
  <si>
    <t>REPUESTOS AUTOMOVIL</t>
  </si>
  <si>
    <t>ARRIENDO DE CASA DESDE ENERO A DICIEMBRE 2025</t>
  </si>
  <si>
    <t>PÉRDIDA FINANCIERA</t>
  </si>
  <si>
    <t>NOTAS AL ESTADO DE RESULTADOS Y ANTECEDENTES</t>
  </si>
  <si>
    <t>DESCRIPCIÓN DEL ANTECEDENTE / NOTA</t>
  </si>
  <si>
    <t>La indemnización por daño moral tiene sentencia ejecutoriada.</t>
  </si>
  <si>
    <t>La cuenta arriendo de casa es para su único accionista, este accionista no trabaja en la empresa.</t>
  </si>
  <si>
    <t>La compra de repuestos de automóvil, este auto pertenece al accionista.</t>
  </si>
  <si>
    <t>La cuenta corrección monetaria tributaria es saldo acreedor por:</t>
  </si>
  <si>
    <t>La empresa registró dentro del costo de venta una compra de automóvil para Gerente General por:</t>
  </si>
  <si>
    <t>La depreciación tributaria es de:</t>
  </si>
  <si>
    <t>La empresa se acogerá al crédito por inversión del 14 letra E); UF al 31/12/2025 es de:</t>
  </si>
  <si>
    <t>SE SOLICITA: Confeccionar la Renta Líquida Imponible y la determinación del pago de los impuestos corporativos.</t>
  </si>
  <si>
    <t>EMPRESA: Los Cables SpA - ESTADO DE RESULTADOS AL 31 DE DICIEMBRE DE 2025</t>
  </si>
  <si>
    <t>Pérdidas</t>
  </si>
  <si>
    <t>Agregados</t>
  </si>
  <si>
    <t>Art 21 inciso 2</t>
  </si>
  <si>
    <t xml:space="preserve">art 31 activo no corriente corresponde a reclasificacion </t>
  </si>
  <si>
    <t>art 31 n°5 y 5 bis</t>
  </si>
  <si>
    <t xml:space="preserve">art 21 inciso 3 </t>
  </si>
  <si>
    <t>art 21 inciso 3</t>
  </si>
  <si>
    <t>Deducciones</t>
  </si>
  <si>
    <t>ingreso no renta porque tiene sentencia ejecutoriada art 17 n°1</t>
  </si>
  <si>
    <t>art 33 n°2</t>
  </si>
  <si>
    <t>Art 21 inciso 1</t>
  </si>
  <si>
    <t>art 41</t>
  </si>
  <si>
    <t>Total</t>
  </si>
  <si>
    <t>total</t>
  </si>
  <si>
    <t>Renta líquida imponible determinada</t>
  </si>
  <si>
    <t>Ahorro Crédito 14 letra E) (50%)</t>
  </si>
  <si>
    <t>Renta líquida imponible</t>
  </si>
  <si>
    <t>Impuesto regimen 14 letra A</t>
  </si>
  <si>
    <t>Gastos rechazados art 21 inciso 1</t>
  </si>
  <si>
    <t>impuesto total corportativo</t>
  </si>
  <si>
    <t>EMPRESA: Nacimiento SpA - ESTADO DE RESULTADOS AL 31 DE DICIEMBRE DE 2025</t>
  </si>
  <si>
    <t>INGRESOS BRUTOS</t>
  </si>
  <si>
    <t>BONO VACACIONES GERENTE GENERAL</t>
  </si>
  <si>
    <t>AGUINALDO DE NAVIDAD ACCIONISTA LUIS TAPΙΑ</t>
  </si>
  <si>
    <t>ARRIENDO DE LOCAL DEL GIRO</t>
  </si>
  <si>
    <t>INTERESES PAGADOS POR MAYOR PLAZO PROVEEDORES</t>
  </si>
  <si>
    <t>PROVISION DE GASTOS</t>
  </si>
  <si>
    <t>CUOTA ANUAL LEASING DE CAMIÓN DEL GIRO</t>
  </si>
  <si>
    <t>DEPRECIACION ACELERADA LEASING CAMION DEL GIRO</t>
  </si>
  <si>
    <t>PERDIDA DEL EJERCICIO ANTERIOR FINANCIERA</t>
  </si>
  <si>
    <t>COMPRA DE AUTOMOVIL USADO</t>
  </si>
  <si>
    <t>INTERESES PAGADOS CRÉDITO COMPRA OFICINA</t>
  </si>
  <si>
    <t>CONTRIBUCIONES PAGADAS AÑO 2025</t>
  </si>
  <si>
    <t>UTILIDAD DEL EJERCICIO</t>
  </si>
  <si>
    <t>Ninguno de los accionistas trabaja en la empresa, el accionista Luis Tapia tiene el 99% de las acciones.</t>
  </si>
  <si>
    <t>-</t>
  </si>
  <si>
    <t>La empresa no tiene bienes raíces a su nombre.</t>
  </si>
  <si>
    <t>La depreciación tributaria del automóvil es de:</t>
  </si>
  <si>
    <t>En los gastos generales se encuentra una factura por mantención de automóvil pagada el 12/12/2025 por:</t>
  </si>
  <si>
    <t>La pérdida del ejercicio anterior tributaria es de:</t>
  </si>
  <si>
    <t>La empresa no paga incentivos a los trabajadores (Bonos ni aguinaldos). (Afecta análisis de Bono Gerente).</t>
  </si>
  <si>
    <t>Pagos provisionales mensuales (PPM) actualizados 2025:</t>
  </si>
  <si>
    <t>La compra del automóvil usado es para uso del gerente comercial que no tiene relación con los propietarios.</t>
  </si>
  <si>
    <t>N/A</t>
  </si>
  <si>
    <t>Utilidad</t>
  </si>
  <si>
    <t>art 21 inc 3</t>
  </si>
  <si>
    <t>art 21 inc 1</t>
  </si>
  <si>
    <t>OTROS INGRESOS (MAYOR VALOR EN FONDOS MUTUOS) art 20 n°2</t>
  </si>
  <si>
    <t>lo tributario si ganancia va en agregado y si es perdida va en deduccion</t>
  </si>
  <si>
    <t>Renta líquida imponilbe determinada</t>
  </si>
  <si>
    <t>Ahorro crédito 14 letra E) 50%</t>
  </si>
  <si>
    <t>Renta líquida imponible 27%</t>
  </si>
  <si>
    <t>40% impuesto unico gasto rechazado</t>
  </si>
  <si>
    <t>Impuesto total 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</si>
</sst>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7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3" fillId="2" borderId="0" xfId="0" applyFont="1" applyFill="1"/>
    <xf numFmtId="0" fontId="0" fillId="3" borderId="0" xfId="0" applyFill="1"/>
    <xf numFmtId="0" fontId="1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0" fillId="4" borderId="0" xfId="0" applyFill="1"/>
    <xf numFmtId="3" fontId="0" fillId="4" borderId="0" xfId="0" applyNumberFormat="1" applyFill="1"/>
    <xf numFmtId="0" fontId="1" fillId="4" borderId="0" xfId="0" applyFont="1" applyFill="1"/>
    <xf numFmtId="3" fontId="1" fillId="4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0" fontId="0" fillId="5" borderId="0" xfId="0" applyFill="1"/>
    <xf numFmtId="0" fontId="6" fillId="5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3" fontId="0" fillId="0" borderId="5" xfId="0" applyNumberFormat="1" applyBorder="1"/>
    <xf numFmtId="0" fontId="0" fillId="0" borderId="5" xfId="0" applyBorder="1"/>
    <xf numFmtId="0" fontId="0" fillId="0" borderId="6" xfId="0" applyBorder="1"/>
    <xf numFmtId="3" fontId="0" fillId="0" borderId="7" xfId="0" applyNumberFormat="1" applyBorder="1"/>
    <xf numFmtId="3" fontId="0" fillId="0" borderId="8" xfId="0" applyNumberFormat="1" applyBorder="1"/>
    <xf numFmtId="4" fontId="0" fillId="0" borderId="5" xfId="0" applyNumberFormat="1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3" fontId="0" fillId="0" borderId="5" xfId="0" applyNumberFormat="1" applyBorder="1" applyAlignment="1">
      <alignment wrapText="1"/>
    </xf>
    <xf numFmtId="4" fontId="0" fillId="0" borderId="5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6" borderId="0" xfId="0" applyFill="1"/>
    <xf numFmtId="3" fontId="0" fillId="6" borderId="0" xfId="0" applyNumberFormat="1" applyFill="1"/>
    <xf numFmtId="0" fontId="1" fillId="0" borderId="0" xfId="0" applyFont="1" applyAlignment="1">
      <alignment wrapText="1"/>
    </xf>
    <xf numFmtId="42" fontId="1" fillId="3" borderId="0" xfId="1" applyFont="1" applyFill="1"/>
    <xf numFmtId="42" fontId="1" fillId="0" borderId="0" xfId="1" applyFont="1"/>
    <xf numFmtId="42" fontId="0" fillId="4" borderId="0" xfId="1" applyFont="1" applyFill="1"/>
    <xf numFmtId="42" fontId="0" fillId="3" borderId="0" xfId="1" applyFont="1" applyFill="1"/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opLeftCell="A17" workbookViewId="0">
      <selection activeCell="B24" sqref="B24"/>
    </sheetView>
  </sheetViews>
  <sheetFormatPr baseColWidth="10" defaultColWidth="8.88671875" defaultRowHeight="18.600000000000001" customHeight="1" x14ac:dyDescent="0.3"/>
  <cols>
    <col min="1" max="1" width="29.5546875" customWidth="1"/>
    <col min="2" max="2" width="21.5546875" customWidth="1"/>
    <col min="3" max="3" width="20.6640625" customWidth="1"/>
  </cols>
  <sheetData>
    <row r="1" spans="1:3" ht="18.600000000000001" customHeight="1" x14ac:dyDescent="0.3">
      <c r="A1" s="5" t="s">
        <v>0</v>
      </c>
      <c r="B1" s="5" t="s">
        <v>1</v>
      </c>
      <c r="C1" s="5" t="s">
        <v>2</v>
      </c>
    </row>
    <row r="2" spans="1:3" ht="18.600000000000001" customHeight="1" x14ac:dyDescent="0.3">
      <c r="A2" s="3" t="s">
        <v>3</v>
      </c>
      <c r="B2" s="3">
        <v>0</v>
      </c>
      <c r="C2" s="6">
        <v>289005210</v>
      </c>
    </row>
    <row r="3" spans="1:3" ht="18.600000000000001" customHeight="1" x14ac:dyDescent="0.3">
      <c r="A3" s="3" t="s">
        <v>4</v>
      </c>
      <c r="B3" s="6">
        <v>215000000</v>
      </c>
      <c r="C3" s="3">
        <v>0</v>
      </c>
    </row>
    <row r="4" spans="1:3" ht="18.600000000000001" customHeight="1" x14ac:dyDescent="0.3">
      <c r="A4" s="3" t="s">
        <v>5</v>
      </c>
      <c r="B4" s="6">
        <v>1500000</v>
      </c>
      <c r="C4" s="3">
        <v>0</v>
      </c>
    </row>
    <row r="5" spans="1:3" ht="18.600000000000001" customHeight="1" x14ac:dyDescent="0.3">
      <c r="A5" s="3" t="s">
        <v>6</v>
      </c>
      <c r="B5" s="6">
        <v>25500000</v>
      </c>
      <c r="C5" s="3">
        <v>0</v>
      </c>
    </row>
    <row r="6" spans="1:3" ht="18.600000000000001" customHeight="1" x14ac:dyDescent="0.3">
      <c r="A6" s="3" t="s">
        <v>7</v>
      </c>
      <c r="B6" s="6">
        <v>8541000</v>
      </c>
      <c r="C6" s="3">
        <v>0</v>
      </c>
    </row>
    <row r="7" spans="1:3" ht="18.600000000000001" customHeight="1" x14ac:dyDescent="0.3">
      <c r="A7" s="3" t="s">
        <v>8</v>
      </c>
      <c r="B7" s="6">
        <v>7500000</v>
      </c>
      <c r="C7" s="3">
        <v>0</v>
      </c>
    </row>
    <row r="8" spans="1:3" ht="18.600000000000001" customHeight="1" x14ac:dyDescent="0.3">
      <c r="A8" s="3" t="s">
        <v>9</v>
      </c>
      <c r="B8" s="6">
        <v>2500000</v>
      </c>
      <c r="C8" s="3">
        <v>0</v>
      </c>
    </row>
    <row r="9" spans="1:3" ht="18.600000000000001" customHeight="1" x14ac:dyDescent="0.3">
      <c r="A9" s="3" t="s">
        <v>10</v>
      </c>
      <c r="B9" s="6">
        <v>1800000</v>
      </c>
      <c r="C9" s="3">
        <v>0</v>
      </c>
    </row>
    <row r="10" spans="1:3" ht="18.600000000000001" customHeight="1" x14ac:dyDescent="0.3">
      <c r="A10" s="3" t="s">
        <v>11</v>
      </c>
      <c r="B10" s="6">
        <v>750000</v>
      </c>
      <c r="C10" s="3">
        <v>0</v>
      </c>
    </row>
    <row r="11" spans="1:3" ht="18.600000000000001" customHeight="1" x14ac:dyDescent="0.3">
      <c r="A11" s="3" t="s">
        <v>12</v>
      </c>
      <c r="B11" s="6">
        <v>1200000</v>
      </c>
      <c r="C11" s="3">
        <v>0</v>
      </c>
    </row>
    <row r="12" spans="1:3" ht="18.600000000000001" customHeight="1" x14ac:dyDescent="0.3">
      <c r="A12" s="7" t="s">
        <v>13</v>
      </c>
      <c r="B12" s="8">
        <v>264291000</v>
      </c>
      <c r="C12" s="8">
        <v>289005210</v>
      </c>
    </row>
    <row r="13" spans="1:3" ht="18.600000000000001" customHeight="1" x14ac:dyDescent="0.3">
      <c r="A13" s="7" t="s">
        <v>14</v>
      </c>
      <c r="B13" s="8">
        <v>24714210</v>
      </c>
      <c r="C13" s="7">
        <v>0</v>
      </c>
    </row>
    <row r="14" spans="1:3" ht="18.600000000000001" customHeight="1" x14ac:dyDescent="0.3">
      <c r="A14" s="7" t="s">
        <v>15</v>
      </c>
      <c r="B14" s="8">
        <v>289005210</v>
      </c>
      <c r="C14" s="8">
        <v>289005210</v>
      </c>
    </row>
    <row r="16" spans="1:3" ht="18.600000000000001" customHeight="1" x14ac:dyDescent="0.3">
      <c r="A16" s="4" t="s">
        <v>16</v>
      </c>
    </row>
    <row r="18" spans="1:3" ht="42.6" customHeight="1" x14ac:dyDescent="0.3">
      <c r="A18" s="5" t="s">
        <v>17</v>
      </c>
      <c r="B18" s="5" t="s">
        <v>18</v>
      </c>
      <c r="C18" s="5" t="s">
        <v>19</v>
      </c>
    </row>
    <row r="19" spans="1:3" ht="42.6" customHeight="1" x14ac:dyDescent="0.3">
      <c r="A19" s="3">
        <v>1</v>
      </c>
      <c r="B19" s="1" t="s">
        <v>20</v>
      </c>
      <c r="C19" s="6">
        <v>1444300</v>
      </c>
    </row>
    <row r="20" spans="1:3" ht="42.6" customHeight="1" x14ac:dyDescent="0.3">
      <c r="A20" s="3">
        <v>2</v>
      </c>
      <c r="B20" s="1" t="s">
        <v>21</v>
      </c>
      <c r="C20" s="6">
        <v>1200000</v>
      </c>
    </row>
    <row r="21" spans="1:3" ht="42.6" customHeight="1" x14ac:dyDescent="0.3">
      <c r="A21" s="3">
        <v>3</v>
      </c>
      <c r="B21" s="1" t="s">
        <v>22</v>
      </c>
      <c r="C21" s="6">
        <v>1800000</v>
      </c>
    </row>
    <row r="22" spans="1:3" ht="42.6" customHeight="1" x14ac:dyDescent="0.3">
      <c r="A22" s="3">
        <v>4</v>
      </c>
      <c r="B22" s="1" t="s">
        <v>23</v>
      </c>
      <c r="C22" s="6">
        <v>1300000</v>
      </c>
    </row>
    <row r="23" spans="1:3" ht="42.6" customHeight="1" x14ac:dyDescent="0.3">
      <c r="A23" s="3">
        <v>5</v>
      </c>
      <c r="B23" s="1" t="s">
        <v>24</v>
      </c>
      <c r="C23" s="6">
        <v>1500000</v>
      </c>
    </row>
    <row r="24" spans="1:3" ht="42.6" customHeight="1" x14ac:dyDescent="0.3">
      <c r="A24" s="3">
        <v>6</v>
      </c>
      <c r="B24" s="1" t="s">
        <v>25</v>
      </c>
      <c r="C24" s="6">
        <v>1841650</v>
      </c>
    </row>
    <row r="25" spans="1:3" ht="42.6" customHeight="1" x14ac:dyDescent="0.3">
      <c r="A25" s="3">
        <v>7</v>
      </c>
      <c r="B25" s="1" t="s">
        <v>26</v>
      </c>
      <c r="C25" s="6">
        <v>1200000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3345-A57A-47AA-BFF5-E6E7B6AD7F1D}">
  <dimension ref="A1:I30"/>
  <sheetViews>
    <sheetView topLeftCell="A10" workbookViewId="0">
      <selection activeCell="H27" sqref="H27"/>
    </sheetView>
  </sheetViews>
  <sheetFormatPr baseColWidth="10" defaultRowHeight="14.4" x14ac:dyDescent="0.3"/>
  <cols>
    <col min="1" max="1" width="47" customWidth="1"/>
    <col min="2" max="2" width="18.5546875" customWidth="1"/>
    <col min="3" max="3" width="16.77734375" customWidth="1"/>
    <col min="7" max="7" width="60.109375" customWidth="1"/>
  </cols>
  <sheetData>
    <row r="1" spans="1:9" ht="24" thickBot="1" x14ac:dyDescent="0.35">
      <c r="A1" s="4" t="s">
        <v>49</v>
      </c>
    </row>
    <row r="2" spans="1:9" x14ac:dyDescent="0.3">
      <c r="A2" s="23" t="s">
        <v>0</v>
      </c>
      <c r="B2" s="24" t="s">
        <v>1</v>
      </c>
      <c r="C2" s="25" t="s">
        <v>2</v>
      </c>
      <c r="G2" s="10" t="s">
        <v>50</v>
      </c>
      <c r="H2" s="2">
        <f>+C16</f>
        <v>39485541</v>
      </c>
    </row>
    <row r="3" spans="1:9" x14ac:dyDescent="0.3">
      <c r="A3" s="26" t="s">
        <v>27</v>
      </c>
      <c r="B3">
        <v>0</v>
      </c>
      <c r="C3" s="27">
        <v>1075414000</v>
      </c>
    </row>
    <row r="4" spans="1:9" ht="18" x14ac:dyDescent="0.35">
      <c r="A4" s="26" t="s">
        <v>28</v>
      </c>
      <c r="B4">
        <v>0</v>
      </c>
      <c r="C4" s="27">
        <v>28000000</v>
      </c>
      <c r="G4" s="13" t="s">
        <v>51</v>
      </c>
      <c r="H4" s="11"/>
      <c r="I4" s="11"/>
    </row>
    <row r="5" spans="1:9" x14ac:dyDescent="0.3">
      <c r="A5" s="26" t="s">
        <v>29</v>
      </c>
      <c r="B5">
        <v>0</v>
      </c>
      <c r="C5" s="27">
        <v>52000000</v>
      </c>
      <c r="G5" s="11" t="str">
        <f>+B26</f>
        <v>La empresa registró dentro del costo de venta una compra de automóvil para Gerente General por:</v>
      </c>
      <c r="H5" s="11">
        <f>+C26</f>
        <v>32000000</v>
      </c>
      <c r="I5" s="11" t="s">
        <v>60</v>
      </c>
    </row>
    <row r="6" spans="1:9" x14ac:dyDescent="0.3">
      <c r="A6" s="26" t="s">
        <v>4</v>
      </c>
      <c r="B6" s="2">
        <v>890000000</v>
      </c>
      <c r="C6" s="28">
        <v>0</v>
      </c>
      <c r="G6" s="11" t="str">
        <f>+A8</f>
        <v>IMPUESTO DE PRIMERA CATEGORÍA</v>
      </c>
      <c r="H6" s="11">
        <f>+B8</f>
        <v>32500000</v>
      </c>
      <c r="I6" s="11" t="s">
        <v>52</v>
      </c>
    </row>
    <row r="7" spans="1:9" x14ac:dyDescent="0.3">
      <c r="A7" s="26" t="s">
        <v>30</v>
      </c>
      <c r="B7" s="2">
        <v>122000000</v>
      </c>
      <c r="C7" s="28">
        <v>0</v>
      </c>
      <c r="G7" s="11" t="str">
        <f>+A10</f>
        <v>COMPRA DE MAQUINARIA</v>
      </c>
      <c r="H7" s="11">
        <f>+B10</f>
        <v>105000000</v>
      </c>
      <c r="I7" s="11" t="s">
        <v>53</v>
      </c>
    </row>
    <row r="8" spans="1:9" x14ac:dyDescent="0.3">
      <c r="A8" s="26" t="s">
        <v>31</v>
      </c>
      <c r="B8" s="2">
        <v>32500000</v>
      </c>
      <c r="C8" s="28">
        <v>0</v>
      </c>
      <c r="G8" s="11" t="str">
        <f>+A11</f>
        <v>DEPRECIACIÓN FINANCIERA</v>
      </c>
      <c r="H8" s="11">
        <f>+B11</f>
        <v>5200000</v>
      </c>
      <c r="I8" s="11" t="s">
        <v>54</v>
      </c>
    </row>
    <row r="9" spans="1:9" x14ac:dyDescent="0.3">
      <c r="A9" s="26" t="s">
        <v>32</v>
      </c>
      <c r="B9" s="2">
        <v>1666000</v>
      </c>
      <c r="C9" s="28">
        <v>0</v>
      </c>
      <c r="G9" s="11" t="str">
        <f>+A13</f>
        <v>REPUESTOS AUTOMOVIL</v>
      </c>
      <c r="H9" s="11">
        <f>+B13</f>
        <v>1200000</v>
      </c>
      <c r="I9" s="11" t="s">
        <v>55</v>
      </c>
    </row>
    <row r="10" spans="1:9" x14ac:dyDescent="0.3">
      <c r="A10" s="26" t="s">
        <v>33</v>
      </c>
      <c r="B10" s="2">
        <v>105000000</v>
      </c>
      <c r="C10" s="28">
        <v>0</v>
      </c>
      <c r="G10" s="11" t="str">
        <f>+A14</f>
        <v>ARRIENDO DE CASA DESDE ENERO A DICIEMBRE 2025</v>
      </c>
      <c r="H10" s="11">
        <f>+B14</f>
        <v>36000000</v>
      </c>
      <c r="I10" s="11" t="s">
        <v>56</v>
      </c>
    </row>
    <row r="11" spans="1:9" x14ac:dyDescent="0.3">
      <c r="A11" s="26" t="s">
        <v>34</v>
      </c>
      <c r="B11" s="2">
        <v>5200000</v>
      </c>
      <c r="C11" s="28">
        <v>0</v>
      </c>
      <c r="G11" s="11" t="str">
        <f>+B25</f>
        <v>La cuenta corrección monetaria tributaria es saldo acreedor por:</v>
      </c>
      <c r="H11" s="11">
        <f>+C25</f>
        <v>2500000</v>
      </c>
      <c r="I11" s="11" t="s">
        <v>61</v>
      </c>
    </row>
    <row r="12" spans="1:9" x14ac:dyDescent="0.3">
      <c r="A12" s="26" t="s">
        <v>35</v>
      </c>
      <c r="B12" s="2">
        <v>1333541</v>
      </c>
      <c r="C12" s="28">
        <v>0</v>
      </c>
      <c r="G12" s="12" t="s">
        <v>62</v>
      </c>
      <c r="H12" s="12">
        <f>+SUM(H5:H11)</f>
        <v>214400000</v>
      </c>
      <c r="I12" s="12"/>
    </row>
    <row r="13" spans="1:9" x14ac:dyDescent="0.3">
      <c r="A13" s="26" t="s">
        <v>36</v>
      </c>
      <c r="B13" s="2">
        <v>1200000</v>
      </c>
      <c r="C13" s="28">
        <v>0</v>
      </c>
    </row>
    <row r="14" spans="1:9" x14ac:dyDescent="0.3">
      <c r="A14" s="26" t="s">
        <v>37</v>
      </c>
      <c r="B14" s="2">
        <v>36000000</v>
      </c>
      <c r="C14" s="28">
        <v>0</v>
      </c>
    </row>
    <row r="15" spans="1:9" ht="15.6" x14ac:dyDescent="0.3">
      <c r="A15" s="26" t="s">
        <v>13</v>
      </c>
      <c r="B15" s="2">
        <v>1194899541</v>
      </c>
      <c r="C15" s="27">
        <v>1155414000</v>
      </c>
      <c r="G15" s="14" t="s">
        <v>57</v>
      </c>
      <c r="H15" s="15"/>
      <c r="I15" s="15"/>
    </row>
    <row r="16" spans="1:9" x14ac:dyDescent="0.3">
      <c r="A16" s="26" t="s">
        <v>38</v>
      </c>
      <c r="B16">
        <v>0</v>
      </c>
      <c r="C16" s="27">
        <v>39485541</v>
      </c>
      <c r="G16" s="15" t="str">
        <f>+A4</f>
        <v>INDEMNIZACIÓN DAÑO MORAL</v>
      </c>
      <c r="H16" s="16">
        <f>+C4</f>
        <v>28000000</v>
      </c>
      <c r="I16" s="15" t="s">
        <v>58</v>
      </c>
    </row>
    <row r="17" spans="1:9" ht="15" thickBot="1" x14ac:dyDescent="0.35">
      <c r="A17" s="29" t="s">
        <v>15</v>
      </c>
      <c r="B17" s="30">
        <v>1194899541</v>
      </c>
      <c r="C17" s="31">
        <v>1194899541</v>
      </c>
      <c r="G17" s="15" t="str">
        <f>+A5</f>
        <v>DIVIDENDOS PERCIBIDOS DESDE LA POLAR S.A.</v>
      </c>
      <c r="H17" s="16">
        <f>+C5</f>
        <v>52000000</v>
      </c>
      <c r="I17" s="15" t="s">
        <v>59</v>
      </c>
    </row>
    <row r="18" spans="1:9" ht="15" thickBot="1" x14ac:dyDescent="0.35">
      <c r="G18" s="15" t="str">
        <f>+B26</f>
        <v>La empresa registró dentro del costo de venta una compra de automóvil para Gerente General por:</v>
      </c>
      <c r="H18" s="15">
        <f>+C26</f>
        <v>32000000</v>
      </c>
      <c r="I18" s="15"/>
    </row>
    <row r="19" spans="1:9" x14ac:dyDescent="0.3">
      <c r="A19" s="23" t="s">
        <v>39</v>
      </c>
      <c r="B19" s="24"/>
      <c r="C19" s="25"/>
      <c r="G19" s="15" t="str">
        <f>+A13</f>
        <v>REPUESTOS AUTOMOVIL</v>
      </c>
      <c r="H19" s="15">
        <f>+B13</f>
        <v>1200000</v>
      </c>
      <c r="I19" s="15"/>
    </row>
    <row r="20" spans="1:9" x14ac:dyDescent="0.3">
      <c r="A20" s="26"/>
      <c r="C20" s="28"/>
      <c r="G20" s="15" t="str">
        <f>+A14</f>
        <v>ARRIENDO DE CASA DESDE ENERO A DICIEMBRE 2025</v>
      </c>
      <c r="H20" s="15">
        <f>+B14</f>
        <v>36000000</v>
      </c>
      <c r="I20" s="15"/>
    </row>
    <row r="21" spans="1:9" x14ac:dyDescent="0.3">
      <c r="A21" s="26" t="s">
        <v>17</v>
      </c>
      <c r="B21" t="s">
        <v>40</v>
      </c>
      <c r="C21" s="28" t="s">
        <v>19</v>
      </c>
      <c r="G21" s="15" t="str">
        <f>+B27</f>
        <v>La depreciación tributaria es de:</v>
      </c>
      <c r="H21" s="15">
        <f>+C27</f>
        <v>3850000</v>
      </c>
      <c r="I21" s="15" t="s">
        <v>54</v>
      </c>
    </row>
    <row r="22" spans="1:9" x14ac:dyDescent="0.3">
      <c r="A22" s="26">
        <v>1</v>
      </c>
      <c r="B22" t="s">
        <v>41</v>
      </c>
      <c r="C22" s="27">
        <v>28000000</v>
      </c>
      <c r="G22" s="17" t="s">
        <v>63</v>
      </c>
      <c r="H22" s="18">
        <f>+SUM(H16:H21)</f>
        <v>153050000</v>
      </c>
      <c r="I22" s="15"/>
    </row>
    <row r="23" spans="1:9" x14ac:dyDescent="0.3">
      <c r="A23" s="26">
        <v>2</v>
      </c>
      <c r="B23" t="s">
        <v>42</v>
      </c>
      <c r="C23" s="27">
        <v>36000000</v>
      </c>
    </row>
    <row r="24" spans="1:9" x14ac:dyDescent="0.3">
      <c r="A24" s="26">
        <v>3</v>
      </c>
      <c r="B24" t="s">
        <v>43</v>
      </c>
      <c r="C24" s="27">
        <v>1200000</v>
      </c>
    </row>
    <row r="25" spans="1:9" x14ac:dyDescent="0.3">
      <c r="A25" s="26">
        <v>4</v>
      </c>
      <c r="B25" t="s">
        <v>44</v>
      </c>
      <c r="C25" s="27">
        <v>2500000</v>
      </c>
      <c r="G25" s="19" t="s">
        <v>64</v>
      </c>
      <c r="H25" s="20">
        <f>+H12-H22-H2</f>
        <v>21864459</v>
      </c>
    </row>
    <row r="26" spans="1:9" x14ac:dyDescent="0.3">
      <c r="A26" s="26">
        <v>5</v>
      </c>
      <c r="B26" t="s">
        <v>45</v>
      </c>
      <c r="C26" s="27">
        <v>32000000</v>
      </c>
      <c r="G26" s="21" t="s">
        <v>65</v>
      </c>
      <c r="H26" s="21">
        <f>+H25*0.5</f>
        <v>10932229.5</v>
      </c>
    </row>
    <row r="27" spans="1:9" x14ac:dyDescent="0.3">
      <c r="A27" s="26">
        <v>6</v>
      </c>
      <c r="B27" t="s">
        <v>46</v>
      </c>
      <c r="C27" s="27">
        <v>3850000</v>
      </c>
      <c r="G27" s="19" t="s">
        <v>66</v>
      </c>
      <c r="H27" s="20">
        <f>+H25-H26</f>
        <v>10932229.5</v>
      </c>
    </row>
    <row r="28" spans="1:9" x14ac:dyDescent="0.3">
      <c r="A28" s="26">
        <v>7</v>
      </c>
      <c r="B28" t="s">
        <v>47</v>
      </c>
      <c r="C28" s="32">
        <v>39727.96</v>
      </c>
      <c r="G28" s="21" t="s">
        <v>67</v>
      </c>
      <c r="H28" s="21">
        <f>+H27*27%</f>
        <v>2951701.9650000003</v>
      </c>
    </row>
    <row r="29" spans="1:9" ht="15" thickBot="1" x14ac:dyDescent="0.35">
      <c r="A29" s="29">
        <v>8</v>
      </c>
      <c r="B29" s="33" t="s">
        <v>48</v>
      </c>
      <c r="C29" s="35">
        <v>0</v>
      </c>
      <c r="G29" s="21" t="s">
        <v>68</v>
      </c>
      <c r="H29" s="21">
        <f>+H5*40%</f>
        <v>12800000</v>
      </c>
    </row>
    <row r="30" spans="1:9" x14ac:dyDescent="0.3">
      <c r="G30" s="22" t="s">
        <v>69</v>
      </c>
      <c r="H30" s="22">
        <f>+H29+H28</f>
        <v>15751701.965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3C02-8037-4F75-AA62-8C81D39AC1A8}">
  <dimension ref="A1:I36"/>
  <sheetViews>
    <sheetView tabSelected="1" topLeftCell="A12" workbookViewId="0">
      <selection activeCell="F29" sqref="F29"/>
    </sheetView>
  </sheetViews>
  <sheetFormatPr baseColWidth="10" defaultRowHeight="14.4" x14ac:dyDescent="0.3"/>
  <cols>
    <col min="1" max="1" width="48.109375" customWidth="1"/>
    <col min="2" max="2" width="30.5546875" customWidth="1"/>
    <col min="3" max="3" width="26.6640625" customWidth="1"/>
    <col min="6" max="6" width="32" customWidth="1"/>
    <col min="7" max="7" width="13" bestFit="1" customWidth="1"/>
  </cols>
  <sheetData>
    <row r="1" spans="1:9" x14ac:dyDescent="0.3">
      <c r="A1" s="9" t="s">
        <v>70</v>
      </c>
    </row>
    <row r="2" spans="1:9" ht="15" thickBot="1" x14ac:dyDescent="0.35"/>
    <row r="3" spans="1:9" x14ac:dyDescent="0.3">
      <c r="A3" s="23" t="s">
        <v>0</v>
      </c>
      <c r="B3" s="24" t="s">
        <v>1</v>
      </c>
      <c r="C3" s="25" t="s">
        <v>2</v>
      </c>
      <c r="F3" s="43" t="s">
        <v>94</v>
      </c>
      <c r="G3" s="44">
        <f>+B21</f>
        <v>129480000</v>
      </c>
    </row>
    <row r="4" spans="1:9" x14ac:dyDescent="0.3">
      <c r="A4" s="26" t="s">
        <v>71</v>
      </c>
      <c r="B4">
        <v>0</v>
      </c>
      <c r="C4" s="27">
        <v>950000000</v>
      </c>
    </row>
    <row r="5" spans="1:9" x14ac:dyDescent="0.3">
      <c r="A5" s="26" t="s">
        <v>97</v>
      </c>
      <c r="B5">
        <v>0</v>
      </c>
      <c r="C5" s="27">
        <v>70000000</v>
      </c>
      <c r="F5" s="11" t="s">
        <v>51</v>
      </c>
      <c r="G5" s="11"/>
      <c r="H5" s="11"/>
    </row>
    <row r="6" spans="1:9" x14ac:dyDescent="0.3">
      <c r="A6" s="26" t="s">
        <v>4</v>
      </c>
      <c r="B6" s="2">
        <v>310000000</v>
      </c>
      <c r="C6" s="28">
        <v>0</v>
      </c>
      <c r="F6" s="11" t="str">
        <f>+A8</f>
        <v>BONO VACACIONES GERENTE GENERAL</v>
      </c>
      <c r="G6" s="49">
        <f>+B8</f>
        <v>8900000</v>
      </c>
      <c r="H6" s="11"/>
    </row>
    <row r="7" spans="1:9" x14ac:dyDescent="0.3">
      <c r="A7" s="26" t="s">
        <v>30</v>
      </c>
      <c r="B7" s="2">
        <v>190000000</v>
      </c>
      <c r="C7" s="28">
        <v>0</v>
      </c>
      <c r="F7" s="11" t="str">
        <f>+A9</f>
        <v>AGUINALDO DE NAVIDAD ACCIONISTA LUIS TAPΙΑ</v>
      </c>
      <c r="G7" s="49">
        <f>+B9</f>
        <v>5000000</v>
      </c>
      <c r="H7" s="11" t="s">
        <v>95</v>
      </c>
    </row>
    <row r="8" spans="1:9" x14ac:dyDescent="0.3">
      <c r="A8" s="26" t="s">
        <v>72</v>
      </c>
      <c r="B8" s="2">
        <v>8900000</v>
      </c>
      <c r="C8" s="28">
        <v>0</v>
      </c>
      <c r="F8" s="11" t="str">
        <f>+B30</f>
        <v>En los gastos generales se encuentra una factura por mantención de automóvil pagada el 12/12/2025 por:</v>
      </c>
      <c r="G8" s="49">
        <f>+C30</f>
        <v>5365000</v>
      </c>
      <c r="H8" s="11" t="s">
        <v>96</v>
      </c>
    </row>
    <row r="9" spans="1:9" x14ac:dyDescent="0.3">
      <c r="A9" s="26" t="s">
        <v>73</v>
      </c>
      <c r="B9" s="2">
        <v>5000000</v>
      </c>
      <c r="C9" s="28">
        <v>0</v>
      </c>
      <c r="F9" s="11" t="str">
        <f>+A13</f>
        <v>PROVISION DE GASTOS</v>
      </c>
      <c r="G9" s="49">
        <f>+B13</f>
        <v>180000000</v>
      </c>
      <c r="H9" s="11"/>
    </row>
    <row r="10" spans="1:9" x14ac:dyDescent="0.3">
      <c r="A10" s="26" t="s">
        <v>74</v>
      </c>
      <c r="B10" s="2">
        <v>12000000</v>
      </c>
      <c r="C10" s="28">
        <v>0</v>
      </c>
      <c r="F10" s="11" t="str">
        <f t="shared" ref="F10:G13" si="0">+A16</f>
        <v>PERDIDA DEL EJERCICIO ANTERIOR FINANCIERA</v>
      </c>
      <c r="G10" s="49">
        <f t="shared" si="0"/>
        <v>15000000</v>
      </c>
      <c r="H10" s="11"/>
    </row>
    <row r="11" spans="1:9" x14ac:dyDescent="0.3">
      <c r="A11" s="26" t="s">
        <v>7</v>
      </c>
      <c r="B11" s="2">
        <v>55270000</v>
      </c>
      <c r="C11" s="28">
        <v>0</v>
      </c>
      <c r="F11" s="11" t="str">
        <f t="shared" si="0"/>
        <v>COMPRA DE AUTOMOVIL USADO</v>
      </c>
      <c r="G11" s="49">
        <f t="shared" si="0"/>
        <v>32000000</v>
      </c>
      <c r="H11" s="11" t="s">
        <v>95</v>
      </c>
    </row>
    <row r="12" spans="1:9" x14ac:dyDescent="0.3">
      <c r="A12" s="26" t="s">
        <v>75</v>
      </c>
      <c r="B12" s="2">
        <v>2150000</v>
      </c>
      <c r="C12" s="28">
        <v>0</v>
      </c>
      <c r="F12" s="11" t="str">
        <f t="shared" si="0"/>
        <v>INTERESES PAGADOS CRÉDITO COMPRA OFICINA</v>
      </c>
      <c r="G12" s="49">
        <f t="shared" si="0"/>
        <v>5200000</v>
      </c>
      <c r="H12" s="11"/>
    </row>
    <row r="13" spans="1:9" x14ac:dyDescent="0.3">
      <c r="A13" s="26" t="s">
        <v>76</v>
      </c>
      <c r="B13" s="2">
        <v>180000000</v>
      </c>
      <c r="C13" s="28">
        <v>0</v>
      </c>
      <c r="F13" s="11" t="str">
        <f t="shared" si="0"/>
        <v>CONTRIBUCIONES PAGADAS AÑO 2025</v>
      </c>
      <c r="G13" s="49">
        <f t="shared" si="0"/>
        <v>9500000</v>
      </c>
      <c r="H13" s="11"/>
    </row>
    <row r="14" spans="1:9" x14ac:dyDescent="0.3">
      <c r="A14" s="26" t="s">
        <v>77</v>
      </c>
      <c r="B14" s="2">
        <v>60000000</v>
      </c>
      <c r="C14" s="28">
        <v>0</v>
      </c>
      <c r="F14" s="9" t="s">
        <v>63</v>
      </c>
      <c r="G14" s="46">
        <f>+SUM(G6:G13)</f>
        <v>260965000</v>
      </c>
      <c r="H14" s="9"/>
      <c r="I14" s="2"/>
    </row>
    <row r="15" spans="1:9" x14ac:dyDescent="0.3">
      <c r="A15" s="26" t="s">
        <v>78</v>
      </c>
      <c r="B15" s="2">
        <v>5500000</v>
      </c>
      <c r="C15" s="28">
        <v>0</v>
      </c>
    </row>
    <row r="16" spans="1:9" x14ac:dyDescent="0.3">
      <c r="A16" s="26" t="s">
        <v>79</v>
      </c>
      <c r="B16" s="2">
        <v>15000000</v>
      </c>
      <c r="C16" s="28">
        <v>0</v>
      </c>
      <c r="F16" s="15" t="s">
        <v>57</v>
      </c>
      <c r="G16" s="15"/>
      <c r="H16" s="15"/>
    </row>
    <row r="17" spans="1:8" x14ac:dyDescent="0.3">
      <c r="A17" s="26" t="s">
        <v>80</v>
      </c>
      <c r="B17" s="2">
        <v>32000000</v>
      </c>
      <c r="C17" s="28">
        <v>0</v>
      </c>
      <c r="F17" s="15" t="str">
        <f>+F7</f>
        <v>AGUINALDO DE NAVIDAD ACCIONISTA LUIS TAPΙΑ</v>
      </c>
      <c r="G17" s="48">
        <f>+G7</f>
        <v>5000000</v>
      </c>
      <c r="H17" s="15"/>
    </row>
    <row r="18" spans="1:8" x14ac:dyDescent="0.3">
      <c r="A18" s="26" t="s">
        <v>81</v>
      </c>
      <c r="B18" s="2">
        <v>5200000</v>
      </c>
      <c r="C18" s="28">
        <v>0</v>
      </c>
      <c r="F18" s="15" t="str">
        <f>+F8</f>
        <v>En los gastos generales se encuentra una factura por mantención de automóvil pagada el 12/12/2025 por:</v>
      </c>
      <c r="G18" s="48">
        <f>+G8</f>
        <v>5365000</v>
      </c>
      <c r="H18" s="15"/>
    </row>
    <row r="19" spans="1:8" x14ac:dyDescent="0.3">
      <c r="A19" s="26" t="s">
        <v>82</v>
      </c>
      <c r="B19" s="2">
        <v>9500000</v>
      </c>
      <c r="C19" s="28">
        <v>0</v>
      </c>
      <c r="F19" s="15" t="str">
        <f>+F11</f>
        <v>COMPRA DE AUTOMOVIL USADO</v>
      </c>
      <c r="G19" s="48">
        <f>+G11</f>
        <v>32000000</v>
      </c>
      <c r="H19" s="15"/>
    </row>
    <row r="20" spans="1:8" x14ac:dyDescent="0.3">
      <c r="A20" s="26" t="s">
        <v>13</v>
      </c>
      <c r="B20" s="2">
        <v>890520000</v>
      </c>
      <c r="C20" s="27">
        <v>1020000000</v>
      </c>
      <c r="E20" t="s">
        <v>98</v>
      </c>
      <c r="F20" s="15" t="str">
        <f>+B31</f>
        <v>La pérdida del ejercicio anterior tributaria es de:</v>
      </c>
      <c r="G20" s="48">
        <f>+C31</f>
        <v>17800000</v>
      </c>
      <c r="H20" s="15"/>
    </row>
    <row r="21" spans="1:8" x14ac:dyDescent="0.3">
      <c r="A21" s="26" t="s">
        <v>83</v>
      </c>
      <c r="B21" s="2">
        <v>129480000</v>
      </c>
      <c r="C21" s="28">
        <v>0</v>
      </c>
      <c r="F21" s="9" t="s">
        <v>63</v>
      </c>
      <c r="G21" s="47">
        <f>+SUM(G17:G20)</f>
        <v>60165000</v>
      </c>
    </row>
    <row r="22" spans="1:8" ht="15" thickBot="1" x14ac:dyDescent="0.35">
      <c r="A22" s="29" t="s">
        <v>15</v>
      </c>
      <c r="B22" s="30">
        <v>1020000000</v>
      </c>
      <c r="C22" s="31">
        <v>1020000000</v>
      </c>
      <c r="H22" s="9"/>
    </row>
    <row r="23" spans="1:8" ht="15" thickBot="1" x14ac:dyDescent="0.35"/>
    <row r="24" spans="1:8" x14ac:dyDescent="0.3">
      <c r="A24" s="23" t="s">
        <v>39</v>
      </c>
      <c r="B24" s="24"/>
      <c r="C24" s="25"/>
      <c r="F24" s="9" t="s">
        <v>99</v>
      </c>
      <c r="G24" s="47">
        <f>+G14+G3-G21</f>
        <v>330280000</v>
      </c>
    </row>
    <row r="25" spans="1:8" x14ac:dyDescent="0.3">
      <c r="A25" s="26"/>
      <c r="C25" s="28"/>
      <c r="F25" t="s">
        <v>100</v>
      </c>
      <c r="G25" s="50">
        <f>+G24*50%</f>
        <v>165140000</v>
      </c>
    </row>
    <row r="26" spans="1:8" ht="28.8" x14ac:dyDescent="0.3">
      <c r="A26" s="36" t="s">
        <v>17</v>
      </c>
      <c r="B26" s="37" t="s">
        <v>40</v>
      </c>
      <c r="C26" s="38" t="s">
        <v>19</v>
      </c>
      <c r="F26" s="45" t="s">
        <v>101</v>
      </c>
      <c r="G26" s="47">
        <f>+G25*27%</f>
        <v>44587800</v>
      </c>
    </row>
    <row r="27" spans="1:8" ht="43.2" x14ac:dyDescent="0.3">
      <c r="A27" s="36">
        <v>1</v>
      </c>
      <c r="B27" s="37" t="s">
        <v>84</v>
      </c>
      <c r="C27" s="38" t="s">
        <v>85</v>
      </c>
      <c r="F27" t="s">
        <v>102</v>
      </c>
      <c r="G27" s="50">
        <f>+(G8+G11)*40%</f>
        <v>14946000</v>
      </c>
    </row>
    <row r="28" spans="1:8" ht="28.8" x14ac:dyDescent="0.3">
      <c r="A28" s="36">
        <v>2</v>
      </c>
      <c r="B28" s="37" t="s">
        <v>86</v>
      </c>
      <c r="C28" s="38" t="s">
        <v>85</v>
      </c>
      <c r="F28" t="str">
        <f>+B33</f>
        <v>Pagos provisionales mensuales (PPM) actualizados 2025:</v>
      </c>
      <c r="G28" s="50">
        <f>+C33</f>
        <v>2530000</v>
      </c>
    </row>
    <row r="29" spans="1:8" ht="28.8" x14ac:dyDescent="0.3">
      <c r="A29" s="36">
        <v>3</v>
      </c>
      <c r="B29" s="37" t="s">
        <v>87</v>
      </c>
      <c r="C29" s="39">
        <v>560000</v>
      </c>
      <c r="F29" s="9" t="s">
        <v>103</v>
      </c>
      <c r="G29" s="47">
        <f>+G26+G27-G28</f>
        <v>57003800</v>
      </c>
    </row>
    <row r="30" spans="1:8" ht="57.6" x14ac:dyDescent="0.3">
      <c r="A30" s="36">
        <v>4</v>
      </c>
      <c r="B30" s="37" t="s">
        <v>88</v>
      </c>
      <c r="C30" s="39">
        <v>5365000</v>
      </c>
    </row>
    <row r="31" spans="1:8" ht="28.8" x14ac:dyDescent="0.3">
      <c r="A31" s="36">
        <v>5</v>
      </c>
      <c r="B31" s="37" t="s">
        <v>89</v>
      </c>
      <c r="C31" s="39">
        <v>17800000</v>
      </c>
    </row>
    <row r="32" spans="1:8" ht="43.2" x14ac:dyDescent="0.3">
      <c r="A32" s="36">
        <v>6</v>
      </c>
      <c r="B32" s="37" t="s">
        <v>90</v>
      </c>
      <c r="C32" s="38" t="s">
        <v>85</v>
      </c>
    </row>
    <row r="33" spans="1:3" ht="28.8" x14ac:dyDescent="0.3">
      <c r="A33" s="36">
        <v>7</v>
      </c>
      <c r="B33" s="37" t="s">
        <v>91</v>
      </c>
      <c r="C33" s="39">
        <v>2530000</v>
      </c>
    </row>
    <row r="34" spans="1:3" ht="57.6" x14ac:dyDescent="0.3">
      <c r="A34" s="36">
        <v>8</v>
      </c>
      <c r="B34" s="37" t="s">
        <v>92</v>
      </c>
      <c r="C34" s="39">
        <v>32000000</v>
      </c>
    </row>
    <row r="35" spans="1:3" ht="43.2" x14ac:dyDescent="0.3">
      <c r="A35" s="36">
        <v>9</v>
      </c>
      <c r="B35" s="37" t="s">
        <v>47</v>
      </c>
      <c r="C35" s="40">
        <v>39727.96</v>
      </c>
    </row>
    <row r="36" spans="1:3" ht="58.2" thickBot="1" x14ac:dyDescent="0.35">
      <c r="A36" s="41">
        <v>10</v>
      </c>
      <c r="B36" s="42" t="s">
        <v>48</v>
      </c>
      <c r="C36" s="3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1</vt:lpstr>
      <vt:lpstr>Ejercicio 2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 Franco Alexis Oyarce Rubio</dc:creator>
  <cp:lastModifiedBy>FRANCO OYARCE RUBIO</cp:lastModifiedBy>
  <dcterms:created xsi:type="dcterms:W3CDTF">2015-06-05T18:19:34Z</dcterms:created>
  <dcterms:modified xsi:type="dcterms:W3CDTF">2026-04-28T16:43:01Z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2026-04-27T19:02:45Z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b4f1e3bf-cd2f-4983-bc0b-506ec6258aa5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